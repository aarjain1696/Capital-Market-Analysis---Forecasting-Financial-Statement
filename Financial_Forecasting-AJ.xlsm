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ustomProperty1.bin" ContentType="application/vnd.openxmlformats-officedocument.spreadsheetml.customProperty"/>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09"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aarjavjain/OneDrive - Syracuse University/Syracuse Semesters/Sem 4/Financial Modelling/P-03/"/>
    </mc:Choice>
  </mc:AlternateContent>
  <xr:revisionPtr revIDLastSave="0" documentId="13_ncr:1_{9F170F3F-AA33-6148-9D10-C47744561D25}" xr6:coauthVersionLast="47" xr6:coauthVersionMax="47" xr10:uidLastSave="{00000000-0000-0000-0000-000000000000}"/>
  <bookViews>
    <workbookView xWindow="0" yWindow="500" windowWidth="33600" windowHeight="19220" xr2:uid="{00000000-000D-0000-FFFF-FFFF00000000}"/>
  </bookViews>
  <sheets>
    <sheet name="UserGuide" sheetId="3" r:id="rId1"/>
    <sheet name="Model" sheetId="1" r:id="rId2"/>
  </sheets>
  <definedNames>
    <definedName name="OLE_LINK1" localSheetId="0">UserGuide!$A$3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12" i="1" l="1"/>
  <c r="I91" i="1"/>
  <c r="I65" i="1"/>
  <c r="I37" i="1"/>
  <c r="I19" i="1"/>
  <c r="CB39" i="1" l="1"/>
  <c r="CB40" i="1"/>
  <c r="CB41" i="1"/>
  <c r="CB38" i="1"/>
  <c r="CA38" i="1"/>
  <c r="CA39" i="1"/>
  <c r="CA40" i="1"/>
  <c r="CA41" i="1"/>
  <c r="AQ26" i="1"/>
  <c r="AR26" i="1"/>
  <c r="AP15" i="1"/>
  <c r="AU26" i="1"/>
  <c r="AT26" i="1"/>
  <c r="AS26" i="1"/>
  <c r="CB42" i="1" l="1"/>
  <c r="CA42" i="1"/>
  <c r="AB91" i="1"/>
  <c r="AB120" i="1"/>
  <c r="CG20" i="1"/>
  <c r="CF20" i="1"/>
  <c r="CE20" i="1"/>
  <c r="CD20" i="1"/>
  <c r="CC20" i="1"/>
  <c r="AB107" i="1"/>
  <c r="AB106" i="1"/>
  <c r="AB77" i="1"/>
  <c r="AB78" i="1" l="1"/>
  <c r="AP20" i="1" s="1"/>
  <c r="AB14" i="1" l="1"/>
  <c r="AB20" i="1"/>
  <c r="AB18" i="1"/>
  <c r="AB16" i="1"/>
  <c r="AB13" i="1"/>
  <c r="AB12" i="1"/>
  <c r="AB42" i="1"/>
  <c r="AB8" i="1"/>
  <c r="AB39" i="1"/>
  <c r="AB37" i="1"/>
  <c r="AB36" i="1"/>
  <c r="AB56" i="1" l="1"/>
  <c r="AC56" i="1" s="1"/>
  <c r="AD56" i="1" s="1"/>
  <c r="AE56" i="1" s="1"/>
  <c r="AF56" i="1" s="1"/>
  <c r="AG56" i="1" s="1"/>
  <c r="CC29" i="1"/>
  <c r="AB75" i="1"/>
  <c r="AB104" i="1"/>
  <c r="AB32" i="1"/>
  <c r="AB11" i="1"/>
  <c r="AB33" i="1"/>
  <c r="AB31" i="1" s="1"/>
  <c r="AB29" i="1"/>
  <c r="AB28" i="1"/>
  <c r="AB27" i="1"/>
  <c r="AB38" i="1"/>
  <c r="AB40" i="1" s="1"/>
  <c r="AB10" i="1"/>
  <c r="AB7" i="1"/>
  <c r="AC7" i="1" s="1"/>
  <c r="AC28" i="1" s="1"/>
  <c r="CC30" i="1" l="1"/>
  <c r="AB30" i="1"/>
  <c r="AB34" i="1" s="1"/>
  <c r="AB44" i="1" s="1"/>
  <c r="AB43" i="1" s="1"/>
  <c r="AB41" i="1" s="1"/>
  <c r="AC11" i="1"/>
  <c r="CC18" i="1" s="1"/>
  <c r="AC10" i="1"/>
  <c r="AD7" i="1"/>
  <c r="AC37" i="1"/>
  <c r="AC36" i="1"/>
  <c r="AC33" i="1"/>
  <c r="AD11" i="1" s="1"/>
  <c r="CD18" i="1" s="1"/>
  <c r="AC27" i="1"/>
  <c r="AC29" i="1"/>
  <c r="AB53" i="1"/>
  <c r="AC53" i="1" s="1"/>
  <c r="AD53" i="1" s="1"/>
  <c r="AE53" i="1" s="1"/>
  <c r="AF53" i="1" s="1"/>
  <c r="AG53" i="1" s="1"/>
  <c r="AB52" i="1"/>
  <c r="AC52" i="1" s="1"/>
  <c r="AD52" i="1" s="1"/>
  <c r="AE52" i="1" s="1"/>
  <c r="AF52" i="1" s="1"/>
  <c r="AG52" i="1" s="1"/>
  <c r="AB51" i="1"/>
  <c r="AB50" i="1"/>
  <c r="AC50" i="1" s="1"/>
  <c r="AD50" i="1" s="1"/>
  <c r="AE50" i="1" s="1"/>
  <c r="AF50" i="1" s="1"/>
  <c r="AG50" i="1" s="1"/>
  <c r="B39" i="1"/>
  <c r="B41" i="1" s="1"/>
  <c r="B35" i="1"/>
  <c r="B45" i="1" s="1"/>
  <c r="B44" i="1" s="1"/>
  <c r="B42" i="1" s="1"/>
  <c r="B32" i="1"/>
  <c r="B31" i="1"/>
  <c r="B12" i="1"/>
  <c r="B18" i="1" s="1"/>
  <c r="B20" i="1" s="1"/>
  <c r="B22" i="1" s="1"/>
  <c r="B24" i="1" s="1"/>
  <c r="AB9" i="1"/>
  <c r="AB15" i="1" s="1"/>
  <c r="AB17" i="1" s="1"/>
  <c r="AB19" i="1" s="1"/>
  <c r="AD8" i="1" l="1"/>
  <c r="AB76" i="1"/>
  <c r="AB105" i="1"/>
  <c r="AB61" i="1"/>
  <c r="AB62" i="1" s="1"/>
  <c r="AC62" i="1" s="1"/>
  <c r="AD62" i="1" s="1"/>
  <c r="AE62" i="1" s="1"/>
  <c r="AF62" i="1" s="1"/>
  <c r="AG62" i="1" s="1"/>
  <c r="AP8" i="1"/>
  <c r="AB21" i="1"/>
  <c r="AP10" i="1"/>
  <c r="AC32" i="1"/>
  <c r="AC31" i="1" s="1"/>
  <c r="CC19" i="1" s="1"/>
  <c r="AC51" i="1"/>
  <c r="AC105" i="1" s="1"/>
  <c r="AC8" i="1"/>
  <c r="AC9" i="1" s="1"/>
  <c r="AC38" i="1"/>
  <c r="AC30" i="1"/>
  <c r="AC34" i="1" s="1"/>
  <c r="AC44" i="1" s="1"/>
  <c r="AE7" i="1"/>
  <c r="AD37" i="1"/>
  <c r="AD36" i="1"/>
  <c r="AD33" i="1"/>
  <c r="AE11" i="1" s="1"/>
  <c r="CE18" i="1" s="1"/>
  <c r="AD29" i="1"/>
  <c r="AD27" i="1"/>
  <c r="AD9" i="1"/>
  <c r="AD28" i="1"/>
  <c r="AD10" i="1"/>
  <c r="AC76" i="1" l="1"/>
  <c r="AC16" i="1"/>
  <c r="CC21" i="1" s="1"/>
  <c r="AD51" i="1"/>
  <c r="AE51" i="1" s="1"/>
  <c r="AD32" i="1"/>
  <c r="AD31" i="1" s="1"/>
  <c r="CD19" i="1" s="1"/>
  <c r="AD38" i="1"/>
  <c r="AD30" i="1"/>
  <c r="AD34" i="1" s="1"/>
  <c r="AD44" i="1" s="1"/>
  <c r="AE8" i="1"/>
  <c r="AE9" i="1" s="1"/>
  <c r="AC39" i="1"/>
  <c r="AF7" i="1"/>
  <c r="AE37" i="1"/>
  <c r="AE36" i="1"/>
  <c r="AE28" i="1"/>
  <c r="AE10" i="1"/>
  <c r="AE33" i="1"/>
  <c r="AF11" i="1" s="1"/>
  <c r="AE29" i="1"/>
  <c r="AE27" i="1"/>
  <c r="AF8" i="1" s="1"/>
  <c r="AE76" i="1" l="1"/>
  <c r="AE105" i="1"/>
  <c r="AD76" i="1"/>
  <c r="AD105" i="1"/>
  <c r="CF18" i="1"/>
  <c r="AE32" i="1"/>
  <c r="AF32" i="1" s="1"/>
  <c r="CC22" i="1"/>
  <c r="AC104" i="1"/>
  <c r="AE38" i="1"/>
  <c r="AF51" i="1"/>
  <c r="AD39" i="1"/>
  <c r="AC40" i="1"/>
  <c r="AC43" i="1" s="1"/>
  <c r="AC58" i="1"/>
  <c r="AC75" i="1"/>
  <c r="AG7" i="1"/>
  <c r="AF36" i="1"/>
  <c r="AF37" i="1"/>
  <c r="AF9" i="1"/>
  <c r="AF10" i="1"/>
  <c r="AF29" i="1"/>
  <c r="AF27" i="1"/>
  <c r="AG8" i="1" s="1"/>
  <c r="AF28" i="1"/>
  <c r="AF33" i="1"/>
  <c r="AG11" i="1" s="1"/>
  <c r="AE30" i="1"/>
  <c r="AE34" i="1" s="1"/>
  <c r="AF105" i="1" l="1"/>
  <c r="AF76" i="1"/>
  <c r="AE31" i="1"/>
  <c r="CE19" i="1" s="1"/>
  <c r="AG32" i="1"/>
  <c r="CG18" i="1"/>
  <c r="AD104" i="1"/>
  <c r="CD22" i="1"/>
  <c r="AG51" i="1"/>
  <c r="AF31" i="1"/>
  <c r="AC59" i="1"/>
  <c r="AC12" i="1"/>
  <c r="AD40" i="1"/>
  <c r="AD43" i="1" s="1"/>
  <c r="AD58" i="1"/>
  <c r="AD12" i="1" s="1"/>
  <c r="AD75" i="1"/>
  <c r="AE39" i="1"/>
  <c r="AE44" i="1"/>
  <c r="AF30" i="1"/>
  <c r="AF34" i="1" s="1"/>
  <c r="AF38" i="1"/>
  <c r="AG36" i="1"/>
  <c r="AG37" i="1"/>
  <c r="AG29" i="1"/>
  <c r="AG27" i="1"/>
  <c r="AG9" i="1"/>
  <c r="AG33" i="1"/>
  <c r="AG28" i="1"/>
  <c r="AG10" i="1"/>
  <c r="AG76" i="1" l="1"/>
  <c r="AG105" i="1"/>
  <c r="CF19" i="1"/>
  <c r="AG31" i="1"/>
  <c r="CG19" i="1" s="1"/>
  <c r="AE104" i="1"/>
  <c r="CE22" i="1"/>
  <c r="AD59" i="1"/>
  <c r="AD16" i="1"/>
  <c r="CD21" i="1" s="1"/>
  <c r="AF39" i="1"/>
  <c r="AF44" i="1"/>
  <c r="AG38" i="1"/>
  <c r="AG30" i="1"/>
  <c r="AG34" i="1" s="1"/>
  <c r="AE40" i="1"/>
  <c r="AE43" i="1" s="1"/>
  <c r="AE58" i="1"/>
  <c r="AE12" i="1" s="1"/>
  <c r="AE75" i="1"/>
  <c r="AF40" i="1"/>
  <c r="CF22" i="1" l="1"/>
  <c r="AF104" i="1"/>
  <c r="AF43" i="1"/>
  <c r="AF58" i="1"/>
  <c r="AF12" i="1" s="1"/>
  <c r="AF75" i="1"/>
  <c r="AG39" i="1"/>
  <c r="AG44" i="1"/>
  <c r="AE59" i="1"/>
  <c r="AE16" i="1"/>
  <c r="CE21" i="1" s="1"/>
  <c r="CG22" i="1" l="1"/>
  <c r="AG104" i="1"/>
  <c r="AG58" i="1"/>
  <c r="AG12" i="1" s="1"/>
  <c r="AG75" i="1"/>
  <c r="AG40" i="1"/>
  <c r="AG43" i="1" s="1"/>
  <c r="AF59" i="1"/>
  <c r="AF16" i="1"/>
  <c r="CF21" i="1" s="1"/>
  <c r="AG59" i="1" l="1"/>
  <c r="AG16" i="1"/>
  <c r="CG21" i="1" s="1"/>
  <c r="CB4" i="1" l="1"/>
  <c r="CC4" i="1"/>
  <c r="CD4" i="1"/>
  <c r="CE4" i="1"/>
  <c r="CF4" i="1"/>
  <c r="CG4" i="1"/>
  <c r="CB5" i="1"/>
  <c r="CC5" i="1"/>
  <c r="CD5" i="1"/>
  <c r="CE5" i="1"/>
  <c r="CF5" i="1"/>
  <c r="CG5" i="1"/>
  <c r="CB6" i="1"/>
  <c r="CC6" i="1"/>
  <c r="CD6" i="1"/>
  <c r="CE6" i="1"/>
  <c r="CF6" i="1"/>
  <c r="CG6" i="1"/>
  <c r="AP7" i="1"/>
  <c r="AQ7" i="1"/>
  <c r="AR7" i="1"/>
  <c r="AS7" i="1"/>
  <c r="AT7" i="1"/>
  <c r="AU7" i="1"/>
  <c r="AQ8" i="1"/>
  <c r="AR8" i="1"/>
  <c r="AS8" i="1"/>
  <c r="AT8" i="1"/>
  <c r="AU8" i="1"/>
  <c r="AQ10" i="1"/>
  <c r="AR10" i="1"/>
  <c r="AS10" i="1"/>
  <c r="AT10" i="1"/>
  <c r="AU10" i="1"/>
  <c r="AQ11" i="1"/>
  <c r="AR11" i="1"/>
  <c r="AS11" i="1"/>
  <c r="AT11" i="1"/>
  <c r="AU11" i="1"/>
  <c r="AV11" i="1"/>
  <c r="CB11" i="1"/>
  <c r="CC11" i="1"/>
  <c r="CD11" i="1"/>
  <c r="CE11" i="1"/>
  <c r="CF11" i="1"/>
  <c r="CG11" i="1"/>
  <c r="CB12" i="1"/>
  <c r="CC12" i="1"/>
  <c r="CD12" i="1"/>
  <c r="CE12" i="1"/>
  <c r="CF12" i="1"/>
  <c r="CG12" i="1"/>
  <c r="AC13" i="1"/>
  <c r="AD13" i="1"/>
  <c r="AE13" i="1"/>
  <c r="AF13" i="1"/>
  <c r="AG13" i="1"/>
  <c r="AP13" i="1"/>
  <c r="AQ13" i="1"/>
  <c r="AR13" i="1"/>
  <c r="AS13" i="1"/>
  <c r="AT13" i="1"/>
  <c r="AU13" i="1"/>
  <c r="CB13" i="1"/>
  <c r="CC13" i="1"/>
  <c r="CD13" i="1"/>
  <c r="CE13" i="1"/>
  <c r="CF13" i="1"/>
  <c r="CG13" i="1"/>
  <c r="AC14" i="1"/>
  <c r="AD14" i="1"/>
  <c r="AE14" i="1"/>
  <c r="AF14" i="1"/>
  <c r="AG14" i="1"/>
  <c r="AP14" i="1"/>
  <c r="AQ14" i="1"/>
  <c r="AR14" i="1"/>
  <c r="AS14" i="1"/>
  <c r="AT14" i="1"/>
  <c r="AU14" i="1"/>
  <c r="AC15" i="1"/>
  <c r="AD15" i="1"/>
  <c r="AE15" i="1"/>
  <c r="AF15" i="1"/>
  <c r="AG15" i="1"/>
  <c r="AQ15" i="1"/>
  <c r="AR15" i="1"/>
  <c r="AS15" i="1"/>
  <c r="AT15" i="1"/>
  <c r="AU15" i="1"/>
  <c r="I16" i="1"/>
  <c r="AC17" i="1"/>
  <c r="AD17" i="1"/>
  <c r="AE17" i="1"/>
  <c r="AF17" i="1"/>
  <c r="AG17" i="1"/>
  <c r="AP17" i="1"/>
  <c r="AQ17" i="1"/>
  <c r="AR17" i="1"/>
  <c r="AS17" i="1"/>
  <c r="AT17" i="1"/>
  <c r="AU17" i="1"/>
  <c r="CC17" i="1"/>
  <c r="CD17" i="1"/>
  <c r="CE17" i="1"/>
  <c r="CF17" i="1"/>
  <c r="CG17" i="1"/>
  <c r="AC18" i="1"/>
  <c r="AD18" i="1"/>
  <c r="AE18" i="1"/>
  <c r="AF18" i="1"/>
  <c r="AG18" i="1"/>
  <c r="AP18" i="1"/>
  <c r="AQ18" i="1"/>
  <c r="AR18" i="1"/>
  <c r="AS18" i="1"/>
  <c r="AT18" i="1"/>
  <c r="AU18" i="1"/>
  <c r="AC19" i="1"/>
  <c r="AD19" i="1"/>
  <c r="AE19" i="1"/>
  <c r="AF19" i="1"/>
  <c r="AG19" i="1"/>
  <c r="AC20" i="1"/>
  <c r="AD20" i="1"/>
  <c r="AE20" i="1"/>
  <c r="AF20" i="1"/>
  <c r="AG20" i="1"/>
  <c r="AQ20" i="1"/>
  <c r="AR20" i="1"/>
  <c r="AS20" i="1"/>
  <c r="AT20" i="1"/>
  <c r="AU20" i="1"/>
  <c r="AC21" i="1"/>
  <c r="AD21" i="1"/>
  <c r="AE21" i="1"/>
  <c r="AF21" i="1"/>
  <c r="AG21" i="1"/>
  <c r="AQ21" i="1"/>
  <c r="AR21" i="1"/>
  <c r="AS21" i="1"/>
  <c r="AT21" i="1"/>
  <c r="AU21" i="1"/>
  <c r="AP23" i="1"/>
  <c r="AQ23" i="1"/>
  <c r="AR23" i="1"/>
  <c r="AS23" i="1"/>
  <c r="AT23" i="1"/>
  <c r="AU23" i="1"/>
  <c r="CC23" i="1"/>
  <c r="CD23" i="1"/>
  <c r="CE23" i="1"/>
  <c r="CF23" i="1"/>
  <c r="CG23" i="1"/>
  <c r="AQ24" i="1"/>
  <c r="AR24" i="1"/>
  <c r="AS24" i="1"/>
  <c r="AT24" i="1"/>
  <c r="AU24" i="1"/>
  <c r="AV24" i="1"/>
  <c r="AQ27" i="1"/>
  <c r="AR27" i="1"/>
  <c r="AS27" i="1"/>
  <c r="AT27" i="1"/>
  <c r="AU27" i="1"/>
  <c r="AQ28" i="1"/>
  <c r="AR28" i="1"/>
  <c r="AS28" i="1"/>
  <c r="AT28" i="1"/>
  <c r="AU28" i="1"/>
  <c r="AQ30" i="1"/>
  <c r="AR30" i="1"/>
  <c r="AS30" i="1"/>
  <c r="AT30" i="1"/>
  <c r="AU30" i="1"/>
  <c r="AR31" i="1"/>
  <c r="AS31" i="1"/>
  <c r="AT31" i="1"/>
  <c r="AU31" i="1"/>
  <c r="CC32" i="1"/>
  <c r="CC33" i="1"/>
  <c r="I34" i="1"/>
  <c r="AC41" i="1"/>
  <c r="AD41" i="1"/>
  <c r="AE41" i="1"/>
  <c r="AF41" i="1"/>
  <c r="AG41" i="1"/>
  <c r="AC42" i="1"/>
  <c r="AD42" i="1"/>
  <c r="AE42" i="1"/>
  <c r="AF42" i="1"/>
  <c r="AG42" i="1"/>
  <c r="I62" i="1"/>
  <c r="AC64" i="1"/>
  <c r="AD64" i="1"/>
  <c r="AE64" i="1"/>
  <c r="AF64" i="1"/>
  <c r="AG64" i="1"/>
  <c r="AC65" i="1"/>
  <c r="AD65" i="1"/>
  <c r="AE65" i="1"/>
  <c r="AF65" i="1"/>
  <c r="AG65" i="1"/>
  <c r="AB73" i="1"/>
  <c r="AC73" i="1"/>
  <c r="AD73" i="1"/>
  <c r="AE73" i="1"/>
  <c r="AF73" i="1"/>
  <c r="AG73" i="1"/>
  <c r="AB74" i="1"/>
  <c r="AC74" i="1"/>
  <c r="AD74" i="1"/>
  <c r="AE74" i="1"/>
  <c r="AF74" i="1"/>
  <c r="AG74" i="1"/>
  <c r="AC77" i="1"/>
  <c r="AD77" i="1"/>
  <c r="AE77" i="1"/>
  <c r="AF77" i="1"/>
  <c r="AG77" i="1"/>
  <c r="AC78" i="1"/>
  <c r="AD78" i="1"/>
  <c r="AE78" i="1"/>
  <c r="AF78" i="1"/>
  <c r="AG78" i="1"/>
  <c r="AB79" i="1"/>
  <c r="AC79" i="1"/>
  <c r="AD79" i="1"/>
  <c r="AE79" i="1"/>
  <c r="AF79" i="1"/>
  <c r="AG79" i="1"/>
  <c r="AC85" i="1"/>
  <c r="AD85" i="1"/>
  <c r="AE85" i="1"/>
  <c r="AF85" i="1"/>
  <c r="AG85" i="1"/>
  <c r="AH85" i="1"/>
  <c r="AG86" i="1"/>
  <c r="AH87" i="1"/>
  <c r="I88" i="1"/>
  <c r="AB89" i="1"/>
  <c r="AC89" i="1"/>
  <c r="AD89" i="1"/>
  <c r="AE89" i="1"/>
  <c r="AF89" i="1"/>
  <c r="AG89" i="1"/>
  <c r="AC90" i="1"/>
  <c r="AD90" i="1"/>
  <c r="AE90" i="1"/>
  <c r="AF90" i="1"/>
  <c r="AG90" i="1"/>
  <c r="AC91" i="1"/>
  <c r="AD91" i="1"/>
  <c r="AE91" i="1"/>
  <c r="AF91" i="1"/>
  <c r="AG91" i="1"/>
  <c r="AB92" i="1"/>
  <c r="AC92" i="1"/>
  <c r="AD92" i="1"/>
  <c r="AE92" i="1"/>
  <c r="AF92" i="1"/>
  <c r="AG92" i="1"/>
  <c r="AB93" i="1"/>
  <c r="AC93" i="1"/>
  <c r="AD93" i="1"/>
  <c r="AE93" i="1"/>
  <c r="AF93" i="1"/>
  <c r="AG93" i="1"/>
  <c r="AB102" i="1"/>
  <c r="AC102" i="1"/>
  <c r="AD102" i="1"/>
  <c r="AE102" i="1"/>
  <c r="AF102" i="1"/>
  <c r="AG102" i="1"/>
  <c r="AB103" i="1"/>
  <c r="AC103" i="1"/>
  <c r="AD103" i="1"/>
  <c r="AE103" i="1"/>
  <c r="AF103" i="1"/>
  <c r="AG103" i="1"/>
  <c r="AC106" i="1"/>
  <c r="AD106" i="1"/>
  <c r="AE106" i="1"/>
  <c r="AF106" i="1"/>
  <c r="AG106" i="1"/>
  <c r="AC107" i="1"/>
  <c r="AD107" i="1"/>
  <c r="AE107" i="1"/>
  <c r="AF107" i="1"/>
  <c r="AG107" i="1"/>
  <c r="AB108" i="1"/>
  <c r="AC108" i="1"/>
  <c r="AD108" i="1"/>
  <c r="AE108" i="1"/>
  <c r="AF108" i="1"/>
  <c r="AG108" i="1"/>
  <c r="I109" i="1"/>
  <c r="AC114" i="1"/>
  <c r="AD114" i="1"/>
  <c r="AE114" i="1"/>
  <c r="AF114" i="1"/>
  <c r="AG114" i="1"/>
  <c r="AH114" i="1"/>
  <c r="AG115" i="1"/>
  <c r="AH116" i="1"/>
  <c r="AB118" i="1"/>
  <c r="AC118" i="1"/>
  <c r="AD118" i="1"/>
  <c r="AE118" i="1"/>
  <c r="AF118" i="1"/>
  <c r="AG118" i="1"/>
  <c r="AC119" i="1"/>
  <c r="AD119" i="1"/>
  <c r="AE119" i="1"/>
  <c r="AF119" i="1"/>
  <c r="AG119" i="1"/>
  <c r="AC120" i="1"/>
  <c r="AD120" i="1"/>
  <c r="AE120" i="1"/>
  <c r="AF120" i="1"/>
  <c r="AG120" i="1"/>
  <c r="AB121" i="1"/>
  <c r="AC121" i="1"/>
  <c r="AD121" i="1"/>
  <c r="AE121" i="1"/>
  <c r="AF121" i="1"/>
  <c r="AG121" i="1"/>
  <c r="AB122" i="1"/>
  <c r="AC122" i="1"/>
  <c r="AD122" i="1"/>
  <c r="AE122" i="1"/>
  <c r="AF122" i="1"/>
  <c r="AG1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Folio</author>
  </authors>
  <commentList>
    <comment ref="AA8" authorId="0" shapeId="0" xr:uid="{AC809037-915E-40A0-B2F2-80A9971AE1E8}">
      <text>
        <r>
          <rPr>
            <b/>
            <sz val="9"/>
            <color rgb="FF000000"/>
            <rFont val="Tahoma"/>
            <family val="2"/>
          </rPr>
          <t>Folio:</t>
        </r>
        <r>
          <rPr>
            <sz val="9"/>
            <color rgb="FF000000"/>
            <rFont val="Tahoma"/>
            <family val="2"/>
          </rPr>
          <t xml:space="preserve">
</t>
        </r>
        <r>
          <rPr>
            <sz val="9"/>
            <color rgb="FF000000"/>
            <rFont val="Tahoma"/>
            <family val="2"/>
          </rPr>
          <t>This is based on the balance of Cash and Marketable Securities at the end of previous year and interest rate during the current year</t>
        </r>
      </text>
    </comment>
    <comment ref="AA16" authorId="0" shapeId="0" xr:uid="{67B6C82C-E03D-49D6-954D-56570ECE1261}">
      <text>
        <r>
          <rPr>
            <b/>
            <sz val="9"/>
            <color rgb="FF000000"/>
            <rFont val="Tahoma"/>
            <family val="2"/>
          </rPr>
          <t>Folio:</t>
        </r>
        <r>
          <rPr>
            <sz val="9"/>
            <color rgb="FF000000"/>
            <rFont val="Tahoma"/>
            <family val="2"/>
          </rPr>
          <t xml:space="preserve">
</t>
        </r>
        <r>
          <rPr>
            <sz val="9"/>
            <color rgb="FF000000"/>
            <rFont val="Tahoma"/>
            <family val="2"/>
          </rPr>
          <t>This is based on the balance of Short-term Debt, Legacy Long-term Debt and New Long-term Debt balance at the end of previous year and interest rate during the current year</t>
        </r>
      </text>
    </comment>
    <comment ref="AA50" authorId="0" shapeId="0" xr:uid="{B2B8FC92-DA9B-4534-8E6C-A2E604EE7B6B}">
      <text>
        <r>
          <rPr>
            <b/>
            <sz val="9"/>
            <color rgb="FF000000"/>
            <rFont val="Tahoma"/>
            <family val="2"/>
          </rPr>
          <t>Folio:</t>
        </r>
        <r>
          <rPr>
            <sz val="9"/>
            <color rgb="FF000000"/>
            <rFont val="Tahoma"/>
            <family val="2"/>
          </rPr>
          <t xml:space="preserve">
</t>
        </r>
        <r>
          <rPr>
            <sz val="9"/>
            <color rgb="FF000000"/>
            <rFont val="Tahoma"/>
            <family val="2"/>
          </rPr>
          <t>The interest rate deducts convenience fees from CAPM model to reflect an additional cost to firm when depositing money in bank rather than investing directly to the financial markets. This is an exchange for services as check-writing and deposit insurance</t>
        </r>
      </text>
    </comment>
    <comment ref="AA51" authorId="0" shapeId="0" xr:uid="{BC2E9EA2-DD72-44B7-90B8-0D79C565ED13}">
      <text>
        <r>
          <rPr>
            <b/>
            <sz val="9"/>
            <color rgb="FF000000"/>
            <rFont val="Tahoma"/>
            <family val="2"/>
          </rPr>
          <t>Folio:</t>
        </r>
        <r>
          <rPr>
            <sz val="9"/>
            <color rgb="FF000000"/>
            <rFont val="Tahoma"/>
            <family val="2"/>
          </rPr>
          <t xml:space="preserve">
</t>
        </r>
        <r>
          <rPr>
            <sz val="9"/>
            <color rgb="FF000000"/>
            <rFont val="Tahoma"/>
            <family val="2"/>
          </rPr>
          <t>The interest rate adds convenience fees to CAPM model to reflect additional cost to firm when raising loans from bank rather than issuing securities on the financial market. It is an exchange for services as line of credits</t>
        </r>
      </text>
    </comment>
    <comment ref="AA76" authorId="0" shapeId="0" xr:uid="{46042124-94CB-4F91-BC4E-AD987DA12099}">
      <text>
        <r>
          <rPr>
            <b/>
            <sz val="9"/>
            <color rgb="FF000000"/>
            <rFont val="Tahoma"/>
            <family val="2"/>
          </rPr>
          <t>Folio:</t>
        </r>
        <r>
          <rPr>
            <sz val="9"/>
            <color rgb="FF000000"/>
            <rFont val="Tahoma"/>
            <family val="2"/>
          </rPr>
          <t xml:space="preserve">
</t>
        </r>
        <r>
          <rPr>
            <sz val="9"/>
            <color rgb="FF000000"/>
            <rFont val="Tahoma"/>
            <family val="2"/>
          </rPr>
          <t>This is the weighted average of the costs of the components of incremental debt, assuming for this model that the components of incremental debt (short and long-term) will be in the same proportion as the existing proportions.</t>
        </r>
      </text>
    </comment>
    <comment ref="AA87" authorId="0" shapeId="0" xr:uid="{7FC61D18-074B-406E-8FB6-EA3B58CC5BF4}">
      <text>
        <r>
          <rPr>
            <b/>
            <sz val="9"/>
            <color rgb="FF000000"/>
            <rFont val="Tahoma"/>
            <family val="2"/>
          </rPr>
          <t>Folio:</t>
        </r>
        <r>
          <rPr>
            <sz val="9"/>
            <color rgb="FF000000"/>
            <rFont val="Tahoma"/>
            <family val="2"/>
          </rPr>
          <t xml:space="preserve">
</t>
        </r>
        <r>
          <rPr>
            <sz val="9"/>
            <color rgb="FF000000"/>
            <rFont val="Tahoma"/>
            <family val="2"/>
          </rPr>
          <t>The Long-term perpetual growth rate in dividends is calculated as plowback ratio multiplied by expected rate of retained earnings</t>
        </r>
      </text>
    </comment>
    <comment ref="AA89" authorId="0" shapeId="0" xr:uid="{BA442686-806F-4FA7-98DE-BBDAEEA9A13E}">
      <text>
        <r>
          <rPr>
            <b/>
            <sz val="9"/>
            <color rgb="FF000000"/>
            <rFont val="Tahoma"/>
            <family val="2"/>
          </rPr>
          <t>Folio:</t>
        </r>
        <r>
          <rPr>
            <sz val="9"/>
            <color rgb="FF000000"/>
            <rFont val="Tahoma"/>
            <family val="2"/>
          </rPr>
          <t xml:space="preserve">
</t>
        </r>
        <r>
          <rPr>
            <sz val="9"/>
            <color rgb="FF000000"/>
            <rFont val="Tahoma"/>
            <family val="2"/>
          </rPr>
          <t>This is the ex-dividend stock value calculated by discounting expected price and dividend of the following year by the cost of equity in current year (single holding period return model).</t>
        </r>
      </text>
    </comment>
    <comment ref="A99" authorId="0" shapeId="0" xr:uid="{2FA7327A-8FEB-48CF-B65C-B3207C01453A}">
      <text>
        <r>
          <rPr>
            <b/>
            <sz val="9"/>
            <color rgb="FF000000"/>
            <rFont val="Tahoma"/>
            <family val="2"/>
          </rPr>
          <t>Folio:</t>
        </r>
        <r>
          <rPr>
            <sz val="9"/>
            <color rgb="FF000000"/>
            <rFont val="Tahoma"/>
            <family val="2"/>
          </rPr>
          <t xml:space="preserve">
</t>
        </r>
        <r>
          <rPr>
            <sz val="9"/>
            <color rgb="FF000000"/>
            <rFont val="Tahoma"/>
            <family val="2"/>
          </rPr>
          <t xml:space="preserve">This is the abnormal rate of return expected to be
</t>
        </r>
        <r>
          <rPr>
            <sz val="9"/>
            <color rgb="FF000000"/>
            <rFont val="Tahoma"/>
            <family val="2"/>
          </rPr>
          <t xml:space="preserve">earned by the company’s management on the reinvested retained earnings because of their skill and expertise. When added with cost of equity, it gives the expected rate of return on retained earnings </t>
        </r>
      </text>
    </comment>
  </commentList>
</comments>
</file>

<file path=xl/sharedStrings.xml><?xml version="1.0" encoding="utf-8"?>
<sst xmlns="http://schemas.openxmlformats.org/spreadsheetml/2006/main" count="263" uniqueCount="192">
  <si>
    <t>Parameters</t>
  </si>
  <si>
    <t>Sales</t>
  </si>
  <si>
    <t>Sales Growth Rate</t>
  </si>
  <si>
    <t>Income Statement Characteristics</t>
  </si>
  <si>
    <t>Tax Rate</t>
  </si>
  <si>
    <t>Dividend Payout Ratio</t>
  </si>
  <si>
    <t>Balance Sheet Characteristics</t>
  </si>
  <si>
    <t>Accounts Receivable/Sales</t>
  </si>
  <si>
    <t>Inventories/Sales</t>
  </si>
  <si>
    <t>Depreciation/Net Fixed Assets</t>
  </si>
  <si>
    <t>Accounts Payable/Sales</t>
  </si>
  <si>
    <t>Fixed Assets Schedule</t>
  </si>
  <si>
    <t>NFA/Sales</t>
  </si>
  <si>
    <t>Net Fixed Assets</t>
  </si>
  <si>
    <t>Interest Rates</t>
  </si>
  <si>
    <t>Risk of Securities</t>
  </si>
  <si>
    <t>Total Revenues</t>
  </si>
  <si>
    <t>Earnings Before Interest and Taxes</t>
  </si>
  <si>
    <t>Earnings Before Taxes</t>
  </si>
  <si>
    <t>Net Income</t>
  </si>
  <si>
    <t>Year 0 Financial Statements</t>
  </si>
  <si>
    <t>Income Statement</t>
  </si>
  <si>
    <t>Balance Sheet</t>
  </si>
  <si>
    <t>Current Assets</t>
  </si>
  <si>
    <t>Total Assets</t>
  </si>
  <si>
    <t>Total Liabilities</t>
  </si>
  <si>
    <t>Current Liabilities</t>
  </si>
  <si>
    <t>Total Liabilities and Stockholders' Equity</t>
  </si>
  <si>
    <t>Samna Corporation</t>
  </si>
  <si>
    <t>Long-term Managerial Performance</t>
  </si>
  <si>
    <t>Cost and Fees</t>
  </si>
  <si>
    <t>Value of Stock</t>
  </si>
  <si>
    <t>Financial Statements For Valuation</t>
  </si>
  <si>
    <t>INCOME STATEMENT</t>
  </si>
  <si>
    <t>Year</t>
  </si>
  <si>
    <t>BALANCE SHEET</t>
  </si>
  <si>
    <t>FINANCING</t>
  </si>
  <si>
    <t>Interest Rate on Cash and Marketable Securities</t>
  </si>
  <si>
    <t>VALUATION USING DIVIDENDS PER SHARE</t>
  </si>
  <si>
    <t>RISK AND COST OF CAPITAL</t>
  </si>
  <si>
    <t>Debt/Equity</t>
  </si>
  <si>
    <t>WACC</t>
  </si>
  <si>
    <t>VALUATION</t>
  </si>
  <si>
    <t>Long-term Debt/Assets</t>
  </si>
  <si>
    <t>New Long-term Debt Issued</t>
  </si>
  <si>
    <t>Cumulative New Long-term Debt</t>
  </si>
  <si>
    <t>New Common Stock Issued</t>
  </si>
  <si>
    <t>Total External Financing</t>
  </si>
  <si>
    <t>Legacy Long-term Debt Outstanding</t>
  </si>
  <si>
    <t>Beta of Assets</t>
  </si>
  <si>
    <t>Beta of Debt</t>
  </si>
  <si>
    <t>Marginal Cost of Debt</t>
  </si>
  <si>
    <t>Beta of Equity</t>
  </si>
  <si>
    <t>Return on Retained Earnings</t>
  </si>
  <si>
    <t>Long-term Dividend Growth Rate</t>
  </si>
  <si>
    <t>Shares Issued</t>
  </si>
  <si>
    <t>Shares Outstanding</t>
  </si>
  <si>
    <t>Market Value of Equity</t>
  </si>
  <si>
    <t>P/E Ratio</t>
  </si>
  <si>
    <t>Market to Book Ratio</t>
  </si>
  <si>
    <t>Total Stockholders' Equity</t>
  </si>
  <si>
    <t>Interest Rate on Short-term Debt</t>
  </si>
  <si>
    <t>Expected Return on Equity</t>
  </si>
  <si>
    <t>Cash and Marketable Securities/Sales</t>
  </si>
  <si>
    <t>Short-term Debt/Sales</t>
  </si>
  <si>
    <t>Coupon Rate on Legacy Long-term Debt</t>
  </si>
  <si>
    <t>Expected Risk-free Rate of Return</t>
  </si>
  <si>
    <t>Market Risk Premium</t>
  </si>
  <si>
    <t>Convenience Fees on Cash and Marketable Securities Account</t>
  </si>
  <si>
    <t>Beta of Long-term Debt</t>
  </si>
  <si>
    <t>Issuing Cost for Common Stock</t>
  </si>
  <si>
    <t>Brokerage Fee when Buying Back the Common Stock</t>
  </si>
  <si>
    <t>Number of Shares Outstanding</t>
  </si>
  <si>
    <t>Market Value of Stock per Share</t>
  </si>
  <si>
    <t>Book Value of Stock per Share</t>
  </si>
  <si>
    <t>Dividend Growth Rate</t>
  </si>
  <si>
    <t>VALUES FOR CHARTS</t>
  </si>
  <si>
    <t xml:space="preserve">     Cash and Marketable Securities</t>
  </si>
  <si>
    <t xml:space="preserve">     Accounts Receivable</t>
  </si>
  <si>
    <t xml:space="preserve">     Inventories</t>
  </si>
  <si>
    <t>Advanced Switches</t>
  </si>
  <si>
    <t>Target Long-term Debt/Assets</t>
  </si>
  <si>
    <t xml:space="preserve">     Sales</t>
  </si>
  <si>
    <t xml:space="preserve">     Interest Income</t>
  </si>
  <si>
    <t xml:space="preserve">     Cost of Sales</t>
  </si>
  <si>
    <t xml:space="preserve">     Debt Issuance Cost</t>
  </si>
  <si>
    <t xml:space="preserve">     Common Stock Issuance Cost</t>
  </si>
  <si>
    <t xml:space="preserve">     Interest Expense</t>
  </si>
  <si>
    <t xml:space="preserve">     Taxes</t>
  </si>
  <si>
    <t xml:space="preserve">     Dividends</t>
  </si>
  <si>
    <t xml:space="preserve">     Gross Fixed Assets</t>
  </si>
  <si>
    <t xml:space="preserve">     Accumulated Depreciation</t>
  </si>
  <si>
    <t xml:space="preserve">     Accounts Payable</t>
  </si>
  <si>
    <t xml:space="preserve">     Short-term Debt</t>
  </si>
  <si>
    <t xml:space="preserve">     Long-term Debt (Face Value)</t>
  </si>
  <si>
    <t xml:space="preserve">     Common Stock (Par + Additional Paid-in Capital)</t>
  </si>
  <si>
    <t xml:space="preserve">     Accumulated Retained Earnings</t>
  </si>
  <si>
    <t xml:space="preserve">     Depreciation</t>
  </si>
  <si>
    <t xml:space="preserve">     Common Stock Repurchase Cost</t>
  </si>
  <si>
    <t xml:space="preserve">     Addition to Retained Earnings</t>
  </si>
  <si>
    <t>Beta of Short-term Debt</t>
  </si>
  <si>
    <t>Beta of Common Stock</t>
  </si>
  <si>
    <t>Cost of Sales/Sales</t>
  </si>
  <si>
    <t>Coupon Rate on New Long-term Debt</t>
  </si>
  <si>
    <t>Beta of Cash and Marketable Securities</t>
  </si>
  <si>
    <t>Market Value of the Firm</t>
  </si>
  <si>
    <t>Convenience Fees For Short-term Debt</t>
  </si>
  <si>
    <t>Expected Dividend Yield</t>
  </si>
  <si>
    <t>Realized Dividend Yield</t>
  </si>
  <si>
    <t>Dividend per Share (DPS)</t>
  </si>
  <si>
    <t>Beta of Stock</t>
  </si>
  <si>
    <t>Expected Stock Return</t>
  </si>
  <si>
    <t>Revenue Growth Rate</t>
  </si>
  <si>
    <t>Earnings Growth Rate</t>
  </si>
  <si>
    <t>EPS Growth Rate</t>
  </si>
  <si>
    <t>DPS Growth Rate</t>
  </si>
  <si>
    <t>Managers' Alpha</t>
  </si>
  <si>
    <t>Realized Stock Return</t>
  </si>
  <si>
    <t>Legacy Long-term Debt Retired</t>
  </si>
  <si>
    <t>Valuation Based on Which Cash Flow?</t>
  </si>
  <si>
    <t>Dividends per Share</t>
  </si>
  <si>
    <t>Issuing Cost for Long-term Debt</t>
  </si>
  <si>
    <t>Earnings per Share (EPS)</t>
  </si>
  <si>
    <t>WORK AREA</t>
  </si>
  <si>
    <t>Equity/Asset</t>
  </si>
  <si>
    <t>Debt/Asset</t>
  </si>
  <si>
    <t>VALUATION USING FCFE PER SHARE</t>
  </si>
  <si>
    <t>FCFE per Share</t>
  </si>
  <si>
    <t>Long-term FCFE per Share Growth Rate</t>
  </si>
  <si>
    <t>Market Value of Equity per Share</t>
  </si>
  <si>
    <t>EBIT*(1-t)</t>
  </si>
  <si>
    <t>+Dep</t>
  </si>
  <si>
    <t>-CapEx</t>
  </si>
  <si>
    <t>-Change in NWC</t>
  </si>
  <si>
    <t>-Interest*(1-t)</t>
  </si>
  <si>
    <t>+Change in Net Debt</t>
  </si>
  <si>
    <t>FCFE</t>
  </si>
  <si>
    <t>FOR DIVIDEND METHOD</t>
  </si>
  <si>
    <t>FOR FCFE METHOD</t>
  </si>
  <si>
    <t>Valuation Method</t>
  </si>
  <si>
    <t>Short Term Debt Ratio</t>
  </si>
  <si>
    <t>Long Term Debt Ratio</t>
  </si>
  <si>
    <t>Payout Ratio</t>
  </si>
  <si>
    <t>Plowback Ratio</t>
  </si>
  <si>
    <t>Count the numbers that not in ascend orders</t>
  </si>
  <si>
    <t>Financial Statement Forecasting and Stock Valuation model</t>
  </si>
  <si>
    <t>Introduction</t>
  </si>
  <si>
    <t>This spreadsheet uses a set of parameters input by the user to forecast the financial statement of a target firm for 5 years to estimate the stock price.</t>
  </si>
  <si>
    <t>The model gives the user the choice to value the stock using two methods: dividend per share and free cash flow of equity per share. The two choices use the same forecasted financial information from the model, but the values discounted to estimate the stock prices are different.</t>
  </si>
  <si>
    <t>The details of how the financial statements are forecasted and how the stock value is estimated is listed below.</t>
  </si>
  <si>
    <t>After the user inputs all the required data and perimeter, the model will produce an estimated stock price.</t>
  </si>
  <si>
    <t>Using the Model</t>
  </si>
  <si>
    <t>The user needs to input the following information:</t>
  </si>
  <si>
    <r>
      <t>1.</t>
    </r>
    <r>
      <rPr>
        <sz val="7"/>
        <color theme="1"/>
        <rFont val="Times New Roman"/>
        <family val="1"/>
      </rPr>
      <t xml:space="preserve">       </t>
    </r>
    <r>
      <rPr>
        <sz val="11"/>
        <color theme="1"/>
        <rFont val="Calibri"/>
        <family val="2"/>
        <scheme val="minor"/>
      </rPr>
      <t>Various data for the year 0 (year from which the most recent data is available)</t>
    </r>
  </si>
  <si>
    <r>
      <t>a.</t>
    </r>
    <r>
      <rPr>
        <sz val="7"/>
        <color theme="1"/>
        <rFont val="Times New Roman"/>
        <family val="1"/>
      </rPr>
      <t xml:space="preserve">       </t>
    </r>
    <r>
      <rPr>
        <sz val="11"/>
        <color theme="1"/>
        <rFont val="Calibri"/>
        <family val="2"/>
        <scheme val="minor"/>
      </rPr>
      <t>Income Statement accounts</t>
    </r>
  </si>
  <si>
    <r>
      <t>b.</t>
    </r>
    <r>
      <rPr>
        <sz val="7"/>
        <color theme="1"/>
        <rFont val="Times New Roman"/>
        <family val="1"/>
      </rPr>
      <t xml:space="preserve">       </t>
    </r>
    <r>
      <rPr>
        <sz val="11"/>
        <color theme="1"/>
        <rFont val="Calibri"/>
        <family val="2"/>
        <scheme val="minor"/>
      </rPr>
      <t>Balance Sheet accounts</t>
    </r>
  </si>
  <si>
    <r>
      <t>c.</t>
    </r>
    <r>
      <rPr>
        <sz val="7"/>
        <color theme="1"/>
        <rFont val="Times New Roman"/>
        <family val="1"/>
      </rPr>
      <t xml:space="preserve">       </t>
    </r>
    <r>
      <rPr>
        <sz val="11"/>
        <color theme="1"/>
        <rFont val="Calibri"/>
        <family val="2"/>
        <scheme val="minor"/>
      </rPr>
      <t>Interest Rates (including convenience fees)</t>
    </r>
  </si>
  <si>
    <r>
      <t>d.</t>
    </r>
    <r>
      <rPr>
        <sz val="7"/>
        <color theme="1"/>
        <rFont val="Times New Roman"/>
        <family val="1"/>
      </rPr>
      <t xml:space="preserve">       </t>
    </r>
    <r>
      <rPr>
        <sz val="11"/>
        <color theme="1"/>
        <rFont val="Calibri"/>
        <family val="2"/>
        <scheme val="minor"/>
      </rPr>
      <t>Risk of Securities (betas of cash, debt and equity)</t>
    </r>
  </si>
  <si>
    <r>
      <t>e.</t>
    </r>
    <r>
      <rPr>
        <sz val="7"/>
        <color theme="1"/>
        <rFont val="Times New Roman"/>
        <family val="1"/>
      </rPr>
      <t xml:space="preserve">       </t>
    </r>
    <r>
      <rPr>
        <sz val="11"/>
        <color theme="1"/>
        <rFont val="Calibri"/>
        <family val="2"/>
        <scheme val="minor"/>
      </rPr>
      <t>Cost and Fees (Issuance cost for debt and stock, and brokerage fee for buyback)</t>
    </r>
  </si>
  <si>
    <r>
      <t>f.</t>
    </r>
    <r>
      <rPr>
        <sz val="7"/>
        <color theme="1"/>
        <rFont val="Times New Roman"/>
        <family val="1"/>
      </rPr>
      <t xml:space="preserve">        </t>
    </r>
    <r>
      <rPr>
        <sz val="11"/>
        <color theme="1"/>
        <rFont val="Calibri"/>
        <family val="2"/>
        <scheme val="minor"/>
      </rPr>
      <t>Managers’ Alpha</t>
    </r>
  </si>
  <si>
    <r>
      <t>2.</t>
    </r>
    <r>
      <rPr>
        <sz val="7"/>
        <color theme="1"/>
        <rFont val="Times New Roman"/>
        <family val="1"/>
      </rPr>
      <t xml:space="preserve">       </t>
    </r>
    <r>
      <rPr>
        <sz val="11"/>
        <color theme="1"/>
        <rFont val="Calibri"/>
        <family val="2"/>
        <scheme val="minor"/>
      </rPr>
      <t>In order to forecast the financial statements for the next 5 years, the user needs to predict and enter various perimeters for the model to calculate the future values</t>
    </r>
  </si>
  <si>
    <r>
      <t>a.</t>
    </r>
    <r>
      <rPr>
        <sz val="7"/>
        <color theme="1"/>
        <rFont val="Times New Roman"/>
        <family val="1"/>
      </rPr>
      <t xml:space="preserve">       </t>
    </r>
    <r>
      <rPr>
        <sz val="11"/>
        <color theme="1"/>
        <rFont val="Calibri"/>
        <family val="2"/>
        <scheme val="minor"/>
      </rPr>
      <t>Sales growth rate over the next 5 years.</t>
    </r>
  </si>
  <si>
    <r>
      <t>c.</t>
    </r>
    <r>
      <rPr>
        <sz val="7"/>
        <color theme="1"/>
        <rFont val="Times New Roman"/>
        <family val="1"/>
      </rPr>
      <t xml:space="preserve">       </t>
    </r>
    <r>
      <rPr>
        <sz val="11"/>
        <color theme="1"/>
        <rFont val="Calibri"/>
        <family val="2"/>
        <scheme val="minor"/>
      </rPr>
      <t>A fixed asset schedule that shows the range of net fixed asset to sales percentages based on a progressive range of sales.</t>
    </r>
  </si>
  <si>
    <r>
      <t>d.</t>
    </r>
    <r>
      <rPr>
        <sz val="7"/>
        <color theme="1"/>
        <rFont val="Times New Roman"/>
        <family val="1"/>
      </rPr>
      <t xml:space="preserve">       </t>
    </r>
    <r>
      <rPr>
        <sz val="11"/>
        <color theme="1"/>
        <rFont val="Calibri"/>
        <family val="2"/>
        <scheme val="minor"/>
      </rPr>
      <t>The percentage of depreciation based on net fixed assets.</t>
    </r>
  </si>
  <si>
    <r>
      <t>3.</t>
    </r>
    <r>
      <rPr>
        <sz val="7"/>
        <color theme="1"/>
        <rFont val="Times New Roman"/>
        <family val="1"/>
      </rPr>
      <t xml:space="preserve">       </t>
    </r>
    <r>
      <rPr>
        <sz val="11"/>
        <color theme="1"/>
        <rFont val="Calibri"/>
        <family val="2"/>
        <scheme val="minor"/>
      </rPr>
      <t>The user needs to choose which type of cash flow they want to use for stock valuation, dividend per share or free cash flow of equity.</t>
    </r>
  </si>
  <si>
    <t>There are certain constraints for several inputs for this model. Please see the cell comments for the valid range.</t>
  </si>
  <si>
    <t>Once the inputs are entered, and the valuation method is chosen, the model will return an estimated stock price.</t>
  </si>
  <si>
    <t>Interpreting the Results</t>
  </si>
  <si>
    <t>The main purpose of the model is to give the user an estimated stock price based on the inputs and parameter, but the user can also look at the forecasted financial statements for further details.</t>
  </si>
  <si>
    <t>Since the required income statement and balance sheet data is publicly available, the accuracy of the model largely depends on the predicted parameters.</t>
  </si>
  <si>
    <t>It should also be noted that the model is based on the following assumptions:</t>
  </si>
  <si>
    <r>
      <t>1.</t>
    </r>
    <r>
      <rPr>
        <sz val="7"/>
        <color theme="1"/>
        <rFont val="Times New Roman"/>
        <family val="1"/>
      </rPr>
      <t xml:space="preserve">       </t>
    </r>
    <r>
      <rPr>
        <sz val="11"/>
        <color theme="1"/>
        <rFont val="Calibri"/>
        <family val="2"/>
        <scheme val="minor"/>
      </rPr>
      <t>The company pays dividends once a year.</t>
    </r>
  </si>
  <si>
    <r>
      <t>2.</t>
    </r>
    <r>
      <rPr>
        <sz val="7"/>
        <color theme="1"/>
        <rFont val="Times New Roman"/>
        <family val="1"/>
      </rPr>
      <t xml:space="preserve">       </t>
    </r>
    <r>
      <rPr>
        <sz val="11"/>
        <color theme="1"/>
        <rFont val="Calibri"/>
        <family val="2"/>
        <scheme val="minor"/>
      </rPr>
      <t>The company maintains its current long term debt to asset ratio.</t>
    </r>
  </si>
  <si>
    <r>
      <t>3.</t>
    </r>
    <r>
      <rPr>
        <sz val="7"/>
        <color theme="1"/>
        <rFont val="Times New Roman"/>
        <family val="1"/>
      </rPr>
      <t xml:space="preserve">       </t>
    </r>
    <r>
      <rPr>
        <sz val="11"/>
        <color theme="1"/>
        <rFont val="Calibri"/>
        <family val="2"/>
        <scheme val="minor"/>
      </rPr>
      <t>The company maintains its current beta of assets.</t>
    </r>
  </si>
  <si>
    <t>Technical Details</t>
  </si>
  <si>
    <t>The model makes use of Excel circular references to pinpoint several values including the dividend per share/free cash flow of equity per share. An IFERROR function is used in case the chain of circular references breaks at some point, the function will return a relatively reasonable value.</t>
  </si>
  <si>
    <r>
      <t xml:space="preserve">The two blocks of circular references are used on the financial statements and the valuation calculations from </t>
    </r>
    <r>
      <rPr>
        <b/>
        <sz val="11"/>
        <color theme="1"/>
        <rFont val="Calibri"/>
        <family val="2"/>
        <scheme val="minor"/>
      </rPr>
      <t>year 1 onward</t>
    </r>
    <r>
      <rPr>
        <sz val="11"/>
        <color theme="1"/>
        <rFont val="Calibri"/>
        <family val="2"/>
        <scheme val="minor"/>
      </rPr>
      <t>.</t>
    </r>
  </si>
  <si>
    <r>
      <t>1.</t>
    </r>
    <r>
      <rPr>
        <sz val="7"/>
        <color theme="1"/>
        <rFont val="Times New Roman"/>
        <family val="1"/>
      </rPr>
      <t xml:space="preserve">       </t>
    </r>
    <r>
      <rPr>
        <sz val="11"/>
        <color theme="1"/>
        <rFont val="Calibri"/>
        <family val="2"/>
        <scheme val="minor"/>
      </rPr>
      <t>Financial Statements</t>
    </r>
  </si>
  <si>
    <r>
      <t>a.</t>
    </r>
    <r>
      <rPr>
        <sz val="7"/>
        <color theme="1"/>
        <rFont val="Times New Roman"/>
        <family val="1"/>
      </rPr>
      <t xml:space="preserve">       </t>
    </r>
    <r>
      <rPr>
        <sz val="11"/>
        <color theme="1"/>
        <rFont val="Calibri"/>
        <family val="2"/>
        <scheme val="minor"/>
      </rPr>
      <t>To calculate common stock, we need the accumulated retained earnings.</t>
    </r>
  </si>
  <si>
    <r>
      <t>b.</t>
    </r>
    <r>
      <rPr>
        <sz val="7"/>
        <color theme="1"/>
        <rFont val="Times New Roman"/>
        <family val="1"/>
      </rPr>
      <t xml:space="preserve">       </t>
    </r>
    <r>
      <rPr>
        <sz val="11"/>
        <color theme="1"/>
        <rFont val="Calibri"/>
        <family val="2"/>
        <scheme val="minor"/>
      </rPr>
      <t>To calculate retained earnings, we need the net income.</t>
    </r>
  </si>
  <si>
    <r>
      <t>c.</t>
    </r>
    <r>
      <rPr>
        <sz val="7"/>
        <color theme="1"/>
        <rFont val="Times New Roman"/>
        <family val="1"/>
      </rPr>
      <t xml:space="preserve">       </t>
    </r>
    <r>
      <rPr>
        <sz val="11"/>
        <color theme="1"/>
        <rFont val="Calibri"/>
        <family val="2"/>
        <scheme val="minor"/>
      </rPr>
      <t>To calculate net income, we need the common stock issuance/repurchase cost.</t>
    </r>
  </si>
  <si>
    <r>
      <t>d.</t>
    </r>
    <r>
      <rPr>
        <sz val="7"/>
        <color theme="1"/>
        <rFont val="Times New Roman"/>
        <family val="1"/>
      </rPr>
      <t xml:space="preserve">       </t>
    </r>
    <r>
      <rPr>
        <sz val="11"/>
        <color theme="1"/>
        <rFont val="Calibri"/>
        <family val="2"/>
        <scheme val="minor"/>
      </rPr>
      <t>To calculate the common stock issuance/repurchase cost, we in turn need the amount of common stock.</t>
    </r>
  </si>
  <si>
    <r>
      <t>2.</t>
    </r>
    <r>
      <rPr>
        <sz val="7"/>
        <color theme="1"/>
        <rFont val="Times New Roman"/>
        <family val="1"/>
      </rPr>
      <t xml:space="preserve">       </t>
    </r>
    <r>
      <rPr>
        <sz val="11"/>
        <color theme="1"/>
        <rFont val="Calibri"/>
        <family val="2"/>
        <scheme val="minor"/>
      </rPr>
      <t>Valuation</t>
    </r>
  </si>
  <si>
    <r>
      <t>a.</t>
    </r>
    <r>
      <rPr>
        <sz val="7"/>
        <color theme="1"/>
        <rFont val="Times New Roman"/>
        <family val="1"/>
      </rPr>
      <t xml:space="preserve">       </t>
    </r>
    <r>
      <rPr>
        <sz val="11"/>
        <color theme="1"/>
        <rFont val="Calibri"/>
        <family val="2"/>
        <scheme val="minor"/>
      </rPr>
      <t>To get the market value of stock per share, we need the expected return on equity and the dividend per share/free cash flow on equity per share.</t>
    </r>
  </si>
  <si>
    <r>
      <t>b.</t>
    </r>
    <r>
      <rPr>
        <sz val="7"/>
        <color theme="1"/>
        <rFont val="Times New Roman"/>
        <family val="1"/>
      </rPr>
      <t xml:space="preserve">       </t>
    </r>
    <r>
      <rPr>
        <sz val="11"/>
        <color theme="1"/>
        <rFont val="Calibri"/>
        <family val="2"/>
        <scheme val="minor"/>
      </rPr>
      <t>To calculate the return on equity, we need the debt-to-equity ratio.</t>
    </r>
  </si>
  <si>
    <r>
      <t>c.</t>
    </r>
    <r>
      <rPr>
        <sz val="7"/>
        <color theme="1"/>
        <rFont val="Times New Roman"/>
        <family val="1"/>
      </rPr>
      <t xml:space="preserve">       </t>
    </r>
    <r>
      <rPr>
        <sz val="11"/>
        <color theme="1"/>
        <rFont val="Calibri"/>
        <family val="2"/>
        <scheme val="minor"/>
      </rPr>
      <t xml:space="preserve">To calculate the dividend per share/free cash flow on equity per share, we need the number of shares outstanding as well. </t>
    </r>
  </si>
  <si>
    <r>
      <t>d.</t>
    </r>
    <r>
      <rPr>
        <sz val="7"/>
        <color theme="1"/>
        <rFont val="Times New Roman"/>
        <family val="1"/>
      </rPr>
      <t xml:space="preserve">       </t>
    </r>
    <r>
      <rPr>
        <sz val="11"/>
        <color theme="1"/>
        <rFont val="Calibri"/>
        <family val="2"/>
        <scheme val="minor"/>
      </rPr>
      <t>To calculate the number of share outstanding, we again need the market value if stock per share in turn.</t>
    </r>
  </si>
  <si>
    <r>
      <t>b.</t>
    </r>
    <r>
      <rPr>
        <sz val="7"/>
        <color theme="1"/>
        <rFont val="Times New Roman"/>
        <family val="1"/>
      </rPr>
      <t xml:space="preserve">       </t>
    </r>
    <r>
      <rPr>
        <sz val="11"/>
        <color theme="1"/>
        <rFont val="Calibri"/>
        <family val="2"/>
        <scheme val="minor"/>
      </rPr>
      <t>The proportion of key balance sheet and income statement accounts as percentage of sales.</t>
    </r>
  </si>
  <si>
    <t>market value of stock per share and the number of stocks outstanding.</t>
  </si>
  <si>
    <r>
      <t xml:space="preserve">                                                 </t>
    </r>
    <r>
      <rPr>
        <sz val="11"/>
        <color theme="1"/>
        <rFont val="Calibri"/>
        <family val="2"/>
        <scheme val="minor"/>
      </rPr>
      <t>i.</t>
    </r>
    <r>
      <rPr>
        <sz val="7"/>
        <color theme="1"/>
        <rFont val="Times New Roman"/>
        <family val="1"/>
      </rPr>
      <t xml:space="preserve">      </t>
    </r>
    <r>
      <rPr>
        <sz val="11"/>
        <color theme="1"/>
        <rFont val="Calibri"/>
        <family val="2"/>
        <scheme val="minor"/>
      </rPr>
      <t>To calculate the debt-to-equity ratio, we need the market value of equity.</t>
    </r>
  </si>
  <si>
    <r>
      <t>                                               ii.</t>
    </r>
    <r>
      <rPr>
        <sz val="7"/>
        <color theme="1"/>
        <rFont val="Times New Roman"/>
        <family val="1"/>
      </rPr>
      <t xml:space="preserve">      </t>
    </r>
    <r>
      <rPr>
        <sz val="11"/>
        <color theme="1"/>
        <rFont val="Calibri"/>
        <family val="2"/>
        <scheme val="minor"/>
      </rPr>
      <t xml:space="preserve">To calculate the market value of equity, we in turn need the </t>
    </r>
  </si>
  <si>
    <t xml:space="preserve">For example, based on the base case information given in our model, when selecting the Dividend per Share method, the current Market Value of Stock per Share returned is $10.62, corresponding to next year forecast price and dividend of $11.17 and $0.46 respectively and cost of equity of 9.4%. This Market Value of Stock per Share gives a current market value of Equity and current market value of the firm equaling $5,327,337 and $7,304, 675. These values keep going up in the subsequent 5 years, reaching $6,631,504 and $9,557,893 respectively as at year 5 as shown on the Valuation Using Dividend per Share table.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</si>
</sst>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3" formatCode="_(* #,##0.00_);_(* \(#,##0.00\);_(* &quot;-&quot;??_);_(@_)"/>
    <numFmt numFmtId="164" formatCode="&quot;$&quot;#,##0"/>
    <numFmt numFmtId="165" formatCode="&quot;$&quot;#,##0.00"/>
    <numFmt numFmtId="166" formatCode="_(* #,##0_);_(* \(#,##0\);_(* &quot;-&quot;??_);_(@_)"/>
  </numFmts>
  <fonts count="18" x14ac:knownFonts="1">
    <font>
      <sz val="11"/>
      <color theme="1"/>
      <name val="Calibri"/>
      <family val="2"/>
      <scheme val="minor"/>
    </font>
    <font>
      <sz val="11"/>
      <color theme="1"/>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b/>
      <sz val="11"/>
      <color rgb="FF0070C0"/>
      <name val="Calibri"/>
      <family val="2"/>
      <scheme val="minor"/>
    </font>
    <font>
      <b/>
      <sz val="11"/>
      <color rgb="FFFFFF00"/>
      <name val="Calibri"/>
      <family val="2"/>
      <scheme val="minor"/>
    </font>
    <font>
      <sz val="28"/>
      <color rgb="FF0070C0"/>
      <name val="Aharoni"/>
      <charset val="177"/>
    </font>
    <font>
      <u/>
      <sz val="11"/>
      <color theme="10"/>
      <name val="Calibri"/>
      <family val="2"/>
      <scheme val="minor"/>
    </font>
    <font>
      <sz val="11"/>
      <name val="Calibri"/>
      <family val="2"/>
      <scheme val="minor"/>
    </font>
    <font>
      <u/>
      <sz val="11"/>
      <color theme="1"/>
      <name val="Calibri"/>
      <family val="2"/>
      <scheme val="minor"/>
    </font>
    <font>
      <b/>
      <sz val="14"/>
      <color theme="0"/>
      <name val="Calibri"/>
      <family val="2"/>
      <scheme val="minor"/>
    </font>
    <font>
      <sz val="7"/>
      <color theme="1"/>
      <name val="Times New Roman"/>
      <family val="1"/>
    </font>
    <font>
      <b/>
      <sz val="14"/>
      <color theme="1"/>
      <name val="Calibri"/>
      <family val="2"/>
      <scheme val="minor"/>
    </font>
    <font>
      <b/>
      <sz val="15"/>
      <color theme="1"/>
      <name val="Calibri"/>
      <family val="2"/>
      <scheme val="minor"/>
    </font>
    <font>
      <sz val="11"/>
      <color theme="0"/>
      <name val="Calibri"/>
      <family val="2"/>
      <scheme val="minor"/>
    </font>
    <font>
      <b/>
      <sz val="9"/>
      <color rgb="FF000000"/>
      <name val="Tahoma"/>
      <family val="2"/>
    </font>
    <font>
      <sz val="9"/>
      <color rgb="FF000000"/>
      <name val="Tahoma"/>
      <family val="2"/>
    </font>
  </fonts>
  <fills count="14">
    <fill>
      <patternFill patternType="none"/>
    </fill>
    <fill>
      <patternFill patternType="gray125"/>
    </fill>
    <fill>
      <patternFill patternType="solid">
        <fgColor rgb="FFFFCC99"/>
      </patternFill>
    </fill>
    <fill>
      <patternFill patternType="solid">
        <fgColor rgb="FFFFC000"/>
        <bgColor indexed="64"/>
      </patternFill>
    </fill>
    <fill>
      <patternFill patternType="solid">
        <fgColor theme="1"/>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8" tint="0.59999389629810485"/>
        <bgColor indexed="64"/>
      </patternFill>
    </fill>
  </fills>
  <borders count="19">
    <border>
      <left/>
      <right/>
      <top/>
      <bottom/>
      <diagonal/>
    </border>
    <border>
      <left style="thin">
        <color rgb="FF7F7F7F"/>
      </left>
      <right style="thin">
        <color rgb="FF7F7F7F"/>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5">
    <xf numFmtId="0" fontId="0" fillId="0" borderId="0"/>
    <xf numFmtId="9" fontId="1" fillId="0" borderId="0" applyFont="0" applyFill="0" applyBorder="0" applyAlignment="0" applyProtection="0"/>
    <xf numFmtId="0" fontId="2" fillId="2" borderId="1" applyNumberFormat="0" applyAlignment="0" applyProtection="0"/>
    <xf numFmtId="43" fontId="1" fillId="0" borderId="0" applyFont="0" applyFill="0" applyBorder="0" applyAlignment="0" applyProtection="0"/>
    <xf numFmtId="0" fontId="8" fillId="0" borderId="0" applyNumberFormat="0" applyFill="0" applyBorder="0" applyAlignment="0" applyProtection="0"/>
  </cellStyleXfs>
  <cellXfs count="119">
    <xf numFmtId="0" fontId="0" fillId="0" borderId="0" xfId="0"/>
    <xf numFmtId="0" fontId="3" fillId="4" borderId="2" xfId="0" applyFont="1" applyFill="1" applyBorder="1"/>
    <xf numFmtId="10" fontId="2" fillId="2" borderId="1" xfId="2" applyNumberFormat="1"/>
    <xf numFmtId="0" fontId="4" fillId="6" borderId="6" xfId="0" applyFont="1" applyFill="1" applyBorder="1" applyAlignment="1">
      <alignment horizontal="right"/>
    </xf>
    <xf numFmtId="0" fontId="4" fillId="6" borderId="4" xfId="0" applyFont="1" applyFill="1" applyBorder="1" applyAlignment="1">
      <alignment horizontal="right"/>
    </xf>
    <xf numFmtId="0" fontId="0" fillId="0" borderId="7" xfId="0" applyBorder="1" applyAlignment="1">
      <alignment vertical="center" wrapText="1"/>
    </xf>
    <xf numFmtId="164" fontId="0" fillId="0" borderId="0" xfId="0" applyNumberFormat="1"/>
    <xf numFmtId="164" fontId="2" fillId="2" borderId="1" xfId="2" applyNumberFormat="1"/>
    <xf numFmtId="0" fontId="0" fillId="0" borderId="0" xfId="0" applyAlignment="1">
      <alignment vertical="center" wrapText="1"/>
    </xf>
    <xf numFmtId="0" fontId="3" fillId="4" borderId="4" xfId="0" applyFont="1" applyFill="1" applyBorder="1"/>
    <xf numFmtId="0" fontId="3" fillId="4" borderId="4" xfId="0" applyFont="1" applyFill="1" applyBorder="1" applyAlignment="1">
      <alignment horizontal="right"/>
    </xf>
    <xf numFmtId="0" fontId="0" fillId="0" borderId="3" xfId="0" applyBorder="1"/>
    <xf numFmtId="164" fontId="0" fillId="0" borderId="3" xfId="0" applyNumberFormat="1" applyBorder="1"/>
    <xf numFmtId="42" fontId="0" fillId="0" borderId="0" xfId="0" applyNumberFormat="1"/>
    <xf numFmtId="42" fontId="0" fillId="0" borderId="3" xfId="0" applyNumberFormat="1" applyBorder="1"/>
    <xf numFmtId="0" fontId="0" fillId="0" borderId="16" xfId="0" applyBorder="1"/>
    <xf numFmtId="10" fontId="0" fillId="0" borderId="0" xfId="1" applyNumberFormat="1" applyFont="1"/>
    <xf numFmtId="10" fontId="0" fillId="0" borderId="0" xfId="0" applyNumberFormat="1"/>
    <xf numFmtId="0" fontId="0" fillId="8" borderId="0" xfId="0" applyFill="1"/>
    <xf numFmtId="2" fontId="0" fillId="8" borderId="0" xfId="0" applyNumberFormat="1" applyFill="1"/>
    <xf numFmtId="10" fontId="0" fillId="8" borderId="0" xfId="1" applyNumberFormat="1" applyFont="1" applyFill="1"/>
    <xf numFmtId="10" fontId="0" fillId="8" borderId="0" xfId="0" applyNumberFormat="1" applyFill="1"/>
    <xf numFmtId="164" fontId="0" fillId="8" borderId="0" xfId="0" applyNumberFormat="1" applyFill="1"/>
    <xf numFmtId="165" fontId="0" fillId="8" borderId="0" xfId="0" applyNumberFormat="1" applyFill="1"/>
    <xf numFmtId="3" fontId="0" fillId="8" borderId="0" xfId="0" applyNumberFormat="1" applyFill="1"/>
    <xf numFmtId="166" fontId="2" fillId="2" borderId="1" xfId="3" applyNumberFormat="1" applyFont="1" applyFill="1" applyBorder="1"/>
    <xf numFmtId="0" fontId="0" fillId="9" borderId="0" xfId="0" applyFill="1"/>
    <xf numFmtId="0" fontId="0" fillId="0" borderId="4" xfId="0" applyBorder="1"/>
    <xf numFmtId="0" fontId="9" fillId="0" borderId="0" xfId="4" applyFont="1"/>
    <xf numFmtId="2" fontId="2" fillId="2" borderId="1" xfId="2" applyNumberFormat="1"/>
    <xf numFmtId="166" fontId="0" fillId="0" borderId="0" xfId="3" applyNumberFormat="1" applyFont="1"/>
    <xf numFmtId="0" fontId="0" fillId="10" borderId="0" xfId="0" applyFill="1"/>
    <xf numFmtId="10" fontId="0" fillId="10" borderId="0" xfId="1" applyNumberFormat="1" applyFont="1" applyFill="1"/>
    <xf numFmtId="10" fontId="0" fillId="10" borderId="0" xfId="0" applyNumberFormat="1" applyFill="1"/>
    <xf numFmtId="164" fontId="0" fillId="0" borderId="16" xfId="0" applyNumberFormat="1" applyBorder="1"/>
    <xf numFmtId="0" fontId="0" fillId="10" borderId="0" xfId="0" applyFont="1" applyFill="1"/>
    <xf numFmtId="164" fontId="0" fillId="10" borderId="0" xfId="0" applyNumberFormat="1" applyFont="1" applyFill="1"/>
    <xf numFmtId="164" fontId="0" fillId="0" borderId="0" xfId="0" applyNumberFormat="1" applyFont="1"/>
    <xf numFmtId="0" fontId="0" fillId="0" borderId="0" xfId="0" quotePrefix="1"/>
    <xf numFmtId="0" fontId="0" fillId="0" borderId="3" xfId="0" applyFill="1" applyBorder="1"/>
    <xf numFmtId="164" fontId="0" fillId="0" borderId="3" xfId="0" applyNumberFormat="1" applyFill="1" applyBorder="1"/>
    <xf numFmtId="0" fontId="0" fillId="0" borderId="0" xfId="0" applyFill="1"/>
    <xf numFmtId="164" fontId="0" fillId="0" borderId="0" xfId="0" applyNumberFormat="1" applyFill="1"/>
    <xf numFmtId="2" fontId="0" fillId="8" borderId="0" xfId="0" applyNumberFormat="1" applyFont="1" applyFill="1"/>
    <xf numFmtId="165" fontId="0" fillId="0" borderId="0" xfId="0" applyNumberFormat="1"/>
    <xf numFmtId="166" fontId="0" fillId="0" borderId="0" xfId="0" applyNumberFormat="1"/>
    <xf numFmtId="0" fontId="0" fillId="11" borderId="0" xfId="0" applyFill="1"/>
    <xf numFmtId="2" fontId="0" fillId="11" borderId="0" xfId="0" applyNumberFormat="1" applyFont="1" applyFill="1"/>
    <xf numFmtId="2" fontId="0" fillId="11" borderId="0" xfId="0" applyNumberFormat="1" applyFill="1"/>
    <xf numFmtId="10" fontId="0" fillId="11" borderId="0" xfId="1" applyNumberFormat="1" applyFont="1" applyFill="1"/>
    <xf numFmtId="10" fontId="0" fillId="11" borderId="0" xfId="0" applyNumberFormat="1" applyFill="1"/>
    <xf numFmtId="164" fontId="0" fillId="11" borderId="0" xfId="0" applyNumberFormat="1" applyFill="1"/>
    <xf numFmtId="165" fontId="0" fillId="11" borderId="0" xfId="0" applyNumberFormat="1" applyFill="1"/>
    <xf numFmtId="3" fontId="0" fillId="11" borderId="0" xfId="0" applyNumberFormat="1" applyFill="1"/>
    <xf numFmtId="165" fontId="0" fillId="9" borderId="0" xfId="0" applyNumberFormat="1" applyFill="1"/>
    <xf numFmtId="2" fontId="0" fillId="9" borderId="0" xfId="0" applyNumberFormat="1" applyFill="1"/>
    <xf numFmtId="43" fontId="0" fillId="9" borderId="0" xfId="3" applyFont="1" applyFill="1"/>
    <xf numFmtId="10" fontId="0" fillId="9" borderId="0" xfId="1" applyNumberFormat="1" applyFont="1" applyFill="1"/>
    <xf numFmtId="9" fontId="0" fillId="0" borderId="4" xfId="1" applyFont="1" applyBorder="1"/>
    <xf numFmtId="9" fontId="0" fillId="0" borderId="4" xfId="0" applyNumberFormat="1" applyBorder="1"/>
    <xf numFmtId="0" fontId="3" fillId="4" borderId="17" xfId="0" applyFont="1" applyFill="1" applyBorder="1"/>
    <xf numFmtId="0" fontId="3" fillId="4" borderId="17" xfId="0" applyFont="1" applyFill="1" applyBorder="1" applyAlignment="1">
      <alignment horizontal="right"/>
    </xf>
    <xf numFmtId="43" fontId="0" fillId="0" borderId="4" xfId="3" applyFont="1" applyBorder="1"/>
    <xf numFmtId="2" fontId="0" fillId="0" borderId="4" xfId="0" applyNumberFormat="1" applyBorder="1"/>
    <xf numFmtId="0" fontId="0" fillId="0" borderId="4" xfId="0" applyBorder="1"/>
    <xf numFmtId="10" fontId="0" fillId="9" borderId="0" xfId="0" applyNumberFormat="1" applyFill="1"/>
    <xf numFmtId="0" fontId="0" fillId="0" borderId="4" xfId="0" applyBorder="1" applyAlignment="1">
      <alignment horizontal="center"/>
    </xf>
    <xf numFmtId="0" fontId="0" fillId="0" borderId="4" xfId="0" applyFill="1" applyBorder="1"/>
    <xf numFmtId="0" fontId="4" fillId="12" borderId="0" xfId="0" applyFont="1" applyFill="1" applyAlignment="1">
      <alignment vertical="center"/>
    </xf>
    <xf numFmtId="0" fontId="0" fillId="12" borderId="0" xfId="0" applyFill="1"/>
    <xf numFmtId="0" fontId="0" fillId="12" borderId="0" xfId="0" applyFill="1" applyAlignment="1">
      <alignment vertical="center"/>
    </xf>
    <xf numFmtId="0" fontId="0" fillId="12" borderId="0" xfId="0" applyFill="1" applyAlignment="1">
      <alignment horizontal="left" vertical="center" indent="4"/>
    </xf>
    <xf numFmtId="0" fontId="0" fillId="12" borderId="0" xfId="0" applyFill="1" applyAlignment="1">
      <alignment horizontal="left" vertical="center" indent="9"/>
    </xf>
    <xf numFmtId="0" fontId="0" fillId="12" borderId="0" xfId="0" applyFill="1" applyAlignment="1">
      <alignment vertical="center" wrapText="1"/>
    </xf>
    <xf numFmtId="0" fontId="13" fillId="12" borderId="0" xfId="0" applyFont="1" applyFill="1" applyAlignment="1">
      <alignment vertical="center"/>
    </xf>
    <xf numFmtId="0" fontId="0" fillId="12" borderId="0" xfId="0" applyFont="1" applyFill="1"/>
    <xf numFmtId="0" fontId="0" fillId="0" borderId="0" xfId="0" applyFont="1"/>
    <xf numFmtId="0" fontId="4" fillId="12" borderId="0" xfId="0" applyFont="1" applyFill="1" applyAlignment="1">
      <alignment horizontal="center" vertical="center"/>
    </xf>
    <xf numFmtId="0" fontId="0" fillId="10" borderId="3" xfId="0" applyFill="1" applyBorder="1"/>
    <xf numFmtId="0" fontId="0" fillId="13" borderId="4" xfId="0" applyFill="1" applyBorder="1"/>
    <xf numFmtId="164" fontId="0" fillId="13" borderId="4" xfId="0" applyNumberFormat="1" applyFill="1" applyBorder="1"/>
    <xf numFmtId="0" fontId="0" fillId="13" borderId="4" xfId="0" quotePrefix="1" applyFill="1" applyBorder="1"/>
    <xf numFmtId="164" fontId="10" fillId="13" borderId="4" xfId="0" applyNumberFormat="1" applyFont="1" applyFill="1" applyBorder="1"/>
    <xf numFmtId="0" fontId="0" fillId="12" borderId="0" xfId="0" applyFill="1" applyAlignment="1">
      <alignment vertical="center" wrapText="1"/>
    </xf>
    <xf numFmtId="0" fontId="12" fillId="12" borderId="0" xfId="0" applyFont="1" applyFill="1" applyAlignment="1">
      <alignment horizontal="left" vertical="center" indent="5"/>
    </xf>
    <xf numFmtId="0" fontId="0" fillId="12" borderId="0" xfId="0" applyFill="1" applyAlignment="1">
      <alignment horizontal="left" indent="18"/>
    </xf>
    <xf numFmtId="0" fontId="0" fillId="12" borderId="0" xfId="0" applyFill="1" applyAlignment="1">
      <alignment vertical="center" wrapText="1"/>
    </xf>
    <xf numFmtId="0" fontId="0" fillId="12" borderId="0" xfId="0" applyFill="1" applyAlignment="1">
      <alignment horizontal="left" vertical="center" wrapText="1" indent="9"/>
    </xf>
    <xf numFmtId="0" fontId="0" fillId="12" borderId="0" xfId="0" applyFill="1" applyAlignment="1">
      <alignment horizontal="left" vertical="center" wrapText="1" indent="4"/>
    </xf>
    <xf numFmtId="0" fontId="14" fillId="12" borderId="0" xfId="0" applyFont="1" applyFill="1" applyAlignment="1">
      <alignment horizontal="center" vertical="center"/>
    </xf>
    <xf numFmtId="0" fontId="11" fillId="5" borderId="4" xfId="0" applyFont="1" applyFill="1" applyBorder="1" applyAlignment="1">
      <alignment horizontal="center"/>
    </xf>
    <xf numFmtId="0" fontId="0" fillId="0" borderId="4" xfId="0" applyBorder="1" applyAlignment="1">
      <alignment horizontal="center" vertical="center" wrapText="1"/>
    </xf>
    <xf numFmtId="0" fontId="0" fillId="10" borderId="3" xfId="0" applyFill="1" applyBorder="1" applyAlignment="1">
      <alignment horizontal="center"/>
    </xf>
    <xf numFmtId="0" fontId="0" fillId="0" borderId="3" xfId="0" applyBorder="1" applyAlignment="1">
      <alignment horizontal="center"/>
    </xf>
    <xf numFmtId="0" fontId="4" fillId="11" borderId="3" xfId="0" applyFont="1" applyFill="1" applyBorder="1" applyAlignment="1">
      <alignment horizontal="center"/>
    </xf>
    <xf numFmtId="0" fontId="4" fillId="9" borderId="3" xfId="0" applyFont="1" applyFill="1" applyBorder="1" applyAlignment="1">
      <alignment horizontal="center"/>
    </xf>
    <xf numFmtId="0" fontId="6" fillId="5" borderId="0" xfId="0" applyFont="1" applyFill="1"/>
    <xf numFmtId="0" fontId="0" fillId="0" borderId="4" xfId="0" applyBorder="1"/>
    <xf numFmtId="0" fontId="6" fillId="5" borderId="12" xfId="0" applyFont="1" applyFill="1" applyBorder="1" applyAlignment="1">
      <alignment vertical="center" wrapText="1"/>
    </xf>
    <xf numFmtId="0" fontId="6" fillId="5" borderId="0" xfId="0" applyFont="1" applyFill="1" applyAlignment="1">
      <alignment vertical="center" wrapText="1"/>
    </xf>
    <xf numFmtId="0" fontId="0" fillId="0" borderId="4" xfId="0" applyBorder="1" applyAlignment="1">
      <alignment horizontal="center"/>
    </xf>
    <xf numFmtId="0" fontId="2" fillId="2" borderId="4" xfId="2" applyBorder="1" applyAlignment="1"/>
    <xf numFmtId="0" fontId="3" fillId="4" borderId="0" xfId="0" applyFont="1" applyFill="1" applyAlignment="1">
      <alignment horizontal="center"/>
    </xf>
    <xf numFmtId="165" fontId="7" fillId="7" borderId="10" xfId="0" applyNumberFormat="1" applyFont="1" applyFill="1" applyBorder="1" applyAlignment="1">
      <alignment horizontal="center" vertical="center" wrapText="1"/>
    </xf>
    <xf numFmtId="165" fontId="7" fillId="7" borderId="11" xfId="0" applyNumberFormat="1" applyFont="1" applyFill="1" applyBorder="1" applyAlignment="1">
      <alignment horizontal="center" vertical="center" wrapText="1"/>
    </xf>
    <xf numFmtId="165" fontId="7" fillId="7" borderId="12" xfId="0" applyNumberFormat="1" applyFont="1" applyFill="1" applyBorder="1" applyAlignment="1">
      <alignment horizontal="center" vertical="center" wrapText="1"/>
    </xf>
    <xf numFmtId="165" fontId="7" fillId="7" borderId="13" xfId="0" applyNumberFormat="1" applyFont="1" applyFill="1" applyBorder="1" applyAlignment="1">
      <alignment horizontal="center" vertical="center" wrapText="1"/>
    </xf>
    <xf numFmtId="165" fontId="7" fillId="7" borderId="14" xfId="0" applyNumberFormat="1" applyFont="1" applyFill="1" applyBorder="1" applyAlignment="1">
      <alignment horizontal="center" vertical="center" wrapText="1"/>
    </xf>
    <xf numFmtId="165" fontId="7" fillId="7" borderId="15" xfId="0" applyNumberFormat="1" applyFont="1" applyFill="1" applyBorder="1" applyAlignment="1">
      <alignment horizontal="center" vertical="center" wrapText="1"/>
    </xf>
    <xf numFmtId="0" fontId="6" fillId="5" borderId="4" xfId="0" applyFont="1" applyFill="1" applyBorder="1"/>
    <xf numFmtId="0" fontId="5" fillId="3" borderId="0" xfId="0" applyFont="1" applyFill="1" applyAlignment="1">
      <alignment horizontal="center"/>
    </xf>
    <xf numFmtId="0" fontId="4" fillId="0" borderId="3" xfId="0" applyFont="1" applyBorder="1" applyAlignment="1">
      <alignment horizontal="center"/>
    </xf>
    <xf numFmtId="0" fontId="5" fillId="3" borderId="4" xfId="0" applyFont="1" applyFill="1" applyBorder="1" applyAlignment="1">
      <alignment horizontal="center"/>
    </xf>
    <xf numFmtId="0" fontId="4" fillId="8" borderId="3" xfId="0" applyFont="1" applyFill="1" applyBorder="1" applyAlignment="1">
      <alignment horizontal="center"/>
    </xf>
    <xf numFmtId="0" fontId="2" fillId="2" borderId="8" xfId="2" applyBorder="1"/>
    <xf numFmtId="0" fontId="2" fillId="2" borderId="9" xfId="2" applyBorder="1"/>
    <xf numFmtId="0" fontId="2" fillId="2" borderId="5" xfId="2" applyBorder="1"/>
    <xf numFmtId="0" fontId="15" fillId="4" borderId="18" xfId="0" applyFont="1" applyFill="1" applyBorder="1" applyAlignment="1">
      <alignment horizontal="center" vertical="center" wrapText="1"/>
    </xf>
    <xf numFmtId="0" fontId="15" fillId="4" borderId="0" xfId="0" applyFont="1" applyFill="1" applyBorder="1" applyAlignment="1">
      <alignment horizontal="center" vertical="center" wrapText="1"/>
    </xf>
  </cellXfs>
  <cellStyles count="5">
    <cellStyle name="Comma" xfId="3" builtinId="3"/>
    <cellStyle name="Hyperlink" xfId="4" builtinId="8"/>
    <cellStyle name="Input" xfId="2" builtinId="20"/>
    <cellStyle name="Normal" xfId="0" builtinId="0"/>
    <cellStyle name="Percent" xfId="1" builtinId="5"/>
  </cellStyles>
  <dxfs count="2">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b="1"/>
              <a:t>M</a:t>
            </a:r>
            <a:r>
              <a:rPr lang="en-US" altLang="zh-CN" sz="1000" b="1"/>
              <a:t>arket Value &amp;</a:t>
            </a:r>
            <a:r>
              <a:rPr lang="en-US" altLang="zh-CN" sz="1000" b="1" baseline="0"/>
              <a:t> Book Value of Stock per Share</a:t>
            </a:r>
            <a:endParaRPr lang="en-US" sz="1000" b="1"/>
          </a:p>
        </c:rich>
      </c:tx>
      <c:layout>
        <c:manualLayout>
          <c:xMode val="edge"/>
          <c:yMode val="edge"/>
          <c:x val="0.14181972378800839"/>
          <c:y val="6.0764942325500879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826047858223851"/>
          <c:y val="0.17776507673041983"/>
          <c:w val="0.81088529671952569"/>
          <c:h val="0.58774575112993654"/>
        </c:manualLayout>
      </c:layout>
      <c:lineChart>
        <c:grouping val="standard"/>
        <c:varyColors val="0"/>
        <c:ser>
          <c:idx val="0"/>
          <c:order val="0"/>
          <c:tx>
            <c:strRef>
              <c:f>Model!$AO$7</c:f>
              <c:strCache>
                <c:ptCount val="1"/>
                <c:pt idx="0">
                  <c:v>Market Value of Stock per Share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Model!$AP$7:$AU$7</c:f>
              <c:numCache>
                <c:formatCode>"$"#,##0.00</c:formatCode>
                <c:ptCount val="6"/>
                <c:pt idx="0">
                  <c:v>11.328784816979292</c:v>
                </c:pt>
                <c:pt idx="1">
                  <c:v>12.065632575245321</c:v>
                </c:pt>
                <c:pt idx="2">
                  <c:v>12.321042816303915</c:v>
                </c:pt>
                <c:pt idx="3">
                  <c:v>12.910418444263467</c:v>
                </c:pt>
                <c:pt idx="4">
                  <c:v>13.466743175438936</c:v>
                </c:pt>
                <c:pt idx="5">
                  <c:v>14.019879156954566</c:v>
                </c:pt>
              </c:numCache>
            </c:numRef>
          </c:val>
          <c:smooth val="0"/>
          <c:extLst>
            <c:ext xmlns:c16="http://schemas.microsoft.com/office/drawing/2014/chart" uri="{C3380CC4-5D6E-409C-BE32-E72D297353CC}">
              <c16:uniqueId val="{00000000-F87E-4D36-ADD8-9FA573648736}"/>
            </c:ext>
          </c:extLst>
        </c:ser>
        <c:ser>
          <c:idx val="1"/>
          <c:order val="1"/>
          <c:tx>
            <c:strRef>
              <c:f>Model!$AO$8</c:f>
              <c:strCache>
                <c:ptCount val="1"/>
                <c:pt idx="0">
                  <c:v>Book Value of Stock per Share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Model!$AP$8:$AU$8</c:f>
              <c:numCache>
                <c:formatCode>"$"#,##0.00</c:formatCode>
                <c:ptCount val="6"/>
                <c:pt idx="0">
                  <c:v>4.6041603510171516</c:v>
                </c:pt>
                <c:pt idx="1">
                  <c:v>5.0061846341304506</c:v>
                </c:pt>
                <c:pt idx="2">
                  <c:v>5.1423227519877672</c:v>
                </c:pt>
                <c:pt idx="3">
                  <c:v>5.5748646152654393</c:v>
                </c:pt>
                <c:pt idx="4">
                  <c:v>6.0109682014006536</c:v>
                </c:pt>
                <c:pt idx="5">
                  <c:v>6.4822264046296496</c:v>
                </c:pt>
              </c:numCache>
            </c:numRef>
          </c:val>
          <c:smooth val="0"/>
          <c:extLst>
            <c:ext xmlns:c16="http://schemas.microsoft.com/office/drawing/2014/chart" uri="{C3380CC4-5D6E-409C-BE32-E72D297353CC}">
              <c16:uniqueId val="{00000001-F87E-4D36-ADD8-9FA573648736}"/>
            </c:ext>
          </c:extLst>
        </c:ser>
        <c:dLbls>
          <c:showLegendKey val="0"/>
          <c:showVal val="0"/>
          <c:showCatName val="0"/>
          <c:showSerName val="0"/>
          <c:showPercent val="0"/>
          <c:showBubbleSize val="0"/>
        </c:dLbls>
        <c:marker val="1"/>
        <c:smooth val="0"/>
        <c:axId val="885301679"/>
        <c:axId val="885302095"/>
      </c:lineChart>
      <c:catAx>
        <c:axId val="88530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302095"/>
        <c:crosses val="autoZero"/>
        <c:auto val="1"/>
        <c:lblAlgn val="ctr"/>
        <c:lblOffset val="100"/>
        <c:noMultiLvlLbl val="0"/>
      </c:catAx>
      <c:valAx>
        <c:axId val="885302095"/>
        <c:scaling>
          <c:orientation val="minMax"/>
          <c:min val="4"/>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301679"/>
        <c:crosses val="autoZero"/>
        <c:crossBetween val="between"/>
      </c:valAx>
      <c:spPr>
        <a:noFill/>
        <a:ln>
          <a:noFill/>
        </a:ln>
        <a:effectLst/>
      </c:spPr>
    </c:plotArea>
    <c:legend>
      <c:legendPos val="b"/>
      <c:layout>
        <c:manualLayout>
          <c:xMode val="edge"/>
          <c:yMode val="edge"/>
          <c:x val="0.23626609347926217"/>
          <c:y val="0.87708778903038376"/>
          <c:w val="0.62403205170384346"/>
          <c:h val="0.111864039637706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370149619496486"/>
          <c:y val="5.6470592039788929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Model!$AO$18</c:f>
              <c:strCache>
                <c:ptCount val="1"/>
                <c:pt idx="0">
                  <c:v>Market to Book Ratio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Model!$AP$18:$AU$18</c:f>
              <c:numCache>
                <c:formatCode>_(* #,##0.00_);_(* \(#,##0.00\);_(* "-"??_);_(@_)</c:formatCode>
                <c:ptCount val="6"/>
                <c:pt idx="0">
                  <c:v>2.4605539236869838</c:v>
                </c:pt>
                <c:pt idx="1">
                  <c:v>2.4101453416212366</c:v>
                </c:pt>
                <c:pt idx="2">
                  <c:v>2.396007292918596</c:v>
                </c:pt>
                <c:pt idx="3">
                  <c:v>2.3158263626548634</c:v>
                </c:pt>
                <c:pt idx="4">
                  <c:v>2.2403617394450639</c:v>
                </c:pt>
                <c:pt idx="5">
                  <c:v>2.1628184950376732</c:v>
                </c:pt>
              </c:numCache>
            </c:numRef>
          </c:val>
          <c:smooth val="0"/>
          <c:extLst>
            <c:ext xmlns:c16="http://schemas.microsoft.com/office/drawing/2014/chart" uri="{C3380CC4-5D6E-409C-BE32-E72D297353CC}">
              <c16:uniqueId val="{00000000-27E7-40EC-B621-DE4D9DB94845}"/>
            </c:ext>
          </c:extLst>
        </c:ser>
        <c:dLbls>
          <c:showLegendKey val="0"/>
          <c:showVal val="0"/>
          <c:showCatName val="0"/>
          <c:showSerName val="0"/>
          <c:showPercent val="0"/>
          <c:showBubbleSize val="0"/>
        </c:dLbls>
        <c:marker val="1"/>
        <c:smooth val="0"/>
        <c:axId val="1218085103"/>
        <c:axId val="1218091343"/>
      </c:lineChart>
      <c:catAx>
        <c:axId val="121808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091343"/>
        <c:crosses val="autoZero"/>
        <c:auto val="1"/>
        <c:lblAlgn val="ctr"/>
        <c:lblOffset val="100"/>
        <c:noMultiLvlLbl val="0"/>
      </c:catAx>
      <c:valAx>
        <c:axId val="1218091343"/>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085103"/>
        <c:crosses val="autoZero"/>
        <c:crossBetween val="between"/>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423663128478731"/>
          <c:y val="6.6037919805526132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Model!$AO$15</c:f>
              <c:strCache>
                <c:ptCount val="1"/>
                <c:pt idx="0">
                  <c:v>Beta of Stock</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Model!$AP$15:$AU$15</c:f>
              <c:numCache>
                <c:formatCode>0.00</c:formatCode>
                <c:ptCount val="6"/>
                <c:pt idx="0">
                  <c:v>1.4</c:v>
                </c:pt>
                <c:pt idx="1">
                  <c:v>1.4026913783066379</c:v>
                </c:pt>
                <c:pt idx="2">
                  <c:v>1.409055271204894</c:v>
                </c:pt>
                <c:pt idx="3">
                  <c:v>1.4139730276999605</c:v>
                </c:pt>
                <c:pt idx="4">
                  <c:v>1.418923074743597</c:v>
                </c:pt>
                <c:pt idx="5">
                  <c:v>1.4243693025735371</c:v>
                </c:pt>
              </c:numCache>
            </c:numRef>
          </c:val>
          <c:smooth val="0"/>
          <c:extLst>
            <c:ext xmlns:c16="http://schemas.microsoft.com/office/drawing/2014/chart" uri="{C3380CC4-5D6E-409C-BE32-E72D297353CC}">
              <c16:uniqueId val="{00000000-7F41-4EF4-83EA-B8D9DD8087FE}"/>
            </c:ext>
          </c:extLst>
        </c:ser>
        <c:dLbls>
          <c:showLegendKey val="0"/>
          <c:showVal val="0"/>
          <c:showCatName val="0"/>
          <c:showSerName val="0"/>
          <c:showPercent val="0"/>
          <c:showBubbleSize val="0"/>
        </c:dLbls>
        <c:marker val="1"/>
        <c:smooth val="0"/>
        <c:axId val="1005344415"/>
        <c:axId val="1005336927"/>
      </c:lineChart>
      <c:catAx>
        <c:axId val="100534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336927"/>
        <c:crosses val="autoZero"/>
        <c:auto val="1"/>
        <c:lblAlgn val="ctr"/>
        <c:lblOffset val="100"/>
        <c:noMultiLvlLbl val="0"/>
      </c:catAx>
      <c:valAx>
        <c:axId val="100533692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344415"/>
        <c:crosses val="autoZero"/>
        <c:crossBetween val="between"/>
        <c:majorUnit val="1.0000000000000002E-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US" sz="1000" b="1"/>
              <a:t>EPS </a:t>
            </a:r>
          </a:p>
        </c:rich>
      </c:tx>
      <c:layout>
        <c:manualLayout>
          <c:xMode val="edge"/>
          <c:yMode val="edge"/>
          <c:x val="0.41521417487640289"/>
          <c:y val="6.1171997675142975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Model!$AO$10</c:f>
              <c:strCache>
                <c:ptCount val="1"/>
                <c:pt idx="0">
                  <c:v>Earnings per Share (EPS)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Model!$AP$5:$AV$5</c:f>
              <c:numCache>
                <c:formatCode>General</c:formatCode>
                <c:ptCount val="7"/>
                <c:pt idx="0">
                  <c:v>0</c:v>
                </c:pt>
                <c:pt idx="1">
                  <c:v>1</c:v>
                </c:pt>
                <c:pt idx="2">
                  <c:v>2</c:v>
                </c:pt>
                <c:pt idx="3">
                  <c:v>3</c:v>
                </c:pt>
                <c:pt idx="4">
                  <c:v>4</c:v>
                </c:pt>
                <c:pt idx="5">
                  <c:v>5</c:v>
                </c:pt>
                <c:pt idx="6">
                  <c:v>6</c:v>
                </c:pt>
              </c:numCache>
            </c:numRef>
          </c:cat>
          <c:val>
            <c:numRef>
              <c:f>Model!$AP$10:$AU$10</c:f>
              <c:numCache>
                <c:formatCode>"$"#,##0.00</c:formatCode>
                <c:ptCount val="6"/>
                <c:pt idx="0">
                  <c:v>0.61083167132030314</c:v>
                </c:pt>
                <c:pt idx="1">
                  <c:v>0.74867081971624438</c:v>
                </c:pt>
                <c:pt idx="2">
                  <c:v>0.85025850776780543</c:v>
                </c:pt>
                <c:pt idx="3">
                  <c:v>0.97647630288625609</c:v>
                </c:pt>
                <c:pt idx="4">
                  <c:v>1.0577581075606086</c:v>
                </c:pt>
                <c:pt idx="5">
                  <c:v>1.1482686064717376</c:v>
                </c:pt>
              </c:numCache>
            </c:numRef>
          </c:val>
          <c:smooth val="0"/>
          <c:extLst>
            <c:ext xmlns:c16="http://schemas.microsoft.com/office/drawing/2014/chart" uri="{C3380CC4-5D6E-409C-BE32-E72D297353CC}">
              <c16:uniqueId val="{00000000-AC42-4E51-9375-2BC248DD6434}"/>
            </c:ext>
          </c:extLst>
        </c:ser>
        <c:dLbls>
          <c:showLegendKey val="0"/>
          <c:showVal val="0"/>
          <c:showCatName val="0"/>
          <c:showSerName val="0"/>
          <c:showPercent val="0"/>
          <c:showBubbleSize val="0"/>
        </c:dLbls>
        <c:marker val="1"/>
        <c:smooth val="0"/>
        <c:axId val="1221094623"/>
        <c:axId val="1221106687"/>
      </c:lineChart>
      <c:catAx>
        <c:axId val="122109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106687"/>
        <c:crosses val="autoZero"/>
        <c:auto val="1"/>
        <c:lblAlgn val="ctr"/>
        <c:lblOffset val="100"/>
        <c:noMultiLvlLbl val="0"/>
      </c:catAx>
      <c:valAx>
        <c:axId val="1221106687"/>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094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3679141866701551"/>
          <c:y val="6.053475982173228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Model!$AO$28</c:f>
              <c:strCache>
                <c:ptCount val="1"/>
                <c:pt idx="0">
                  <c:v>Dividend Growth Rate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Model!$AQ$28:$AU$28</c:f>
              <c:numCache>
                <c:formatCode>0.00%</c:formatCode>
                <c:ptCount val="5"/>
                <c:pt idx="0">
                  <c:v>0.23322497434414702</c:v>
                </c:pt>
                <c:pt idx="1">
                  <c:v>0.10336674553868352</c:v>
                </c:pt>
                <c:pt idx="2">
                  <c:v>0.1550232871739361</c:v>
                </c:pt>
                <c:pt idx="3">
                  <c:v>8.5118908846775865E-2</c:v>
                </c:pt>
                <c:pt idx="4">
                  <c:v>8.7267218087647036E-2</c:v>
                </c:pt>
              </c:numCache>
            </c:numRef>
          </c:val>
          <c:smooth val="0"/>
          <c:extLst>
            <c:ext xmlns:c16="http://schemas.microsoft.com/office/drawing/2014/chart" uri="{C3380CC4-5D6E-409C-BE32-E72D297353CC}">
              <c16:uniqueId val="{00000000-5A74-4B2F-9163-35D0462614BB}"/>
            </c:ext>
          </c:extLst>
        </c:ser>
        <c:dLbls>
          <c:showLegendKey val="0"/>
          <c:showVal val="0"/>
          <c:showCatName val="0"/>
          <c:showSerName val="0"/>
          <c:showPercent val="0"/>
          <c:showBubbleSize val="0"/>
        </c:dLbls>
        <c:marker val="1"/>
        <c:smooth val="0"/>
        <c:axId val="1289900351"/>
        <c:axId val="1289894111"/>
      </c:lineChart>
      <c:catAx>
        <c:axId val="128990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894111"/>
        <c:crosses val="autoZero"/>
        <c:auto val="1"/>
        <c:lblAlgn val="ctr"/>
        <c:lblOffset val="100"/>
        <c:noMultiLvlLbl val="0"/>
      </c:catAx>
      <c:valAx>
        <c:axId val="12898941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00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920269474785794"/>
          <c:y val="5.0798415089449211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Model!$AO$17</c:f>
              <c:strCache>
                <c:ptCount val="1"/>
                <c:pt idx="0">
                  <c:v>P/E Ratio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Model!$AP$5:$AU$5</c:f>
              <c:numCache>
                <c:formatCode>General</c:formatCode>
                <c:ptCount val="6"/>
                <c:pt idx="0">
                  <c:v>0</c:v>
                </c:pt>
                <c:pt idx="1">
                  <c:v>1</c:v>
                </c:pt>
                <c:pt idx="2">
                  <c:v>2</c:v>
                </c:pt>
                <c:pt idx="3">
                  <c:v>3</c:v>
                </c:pt>
                <c:pt idx="4">
                  <c:v>4</c:v>
                </c:pt>
                <c:pt idx="5">
                  <c:v>5</c:v>
                </c:pt>
              </c:numCache>
            </c:numRef>
          </c:cat>
          <c:val>
            <c:numRef>
              <c:f>Model!$AP$17:$AU$17</c:f>
              <c:numCache>
                <c:formatCode>_(* #,##0.00_);_(* \(#,##0.00\);_(* "-"??_);_(@_)</c:formatCode>
                <c:ptCount val="6"/>
                <c:pt idx="0">
                  <c:v>18.546492182522723</c:v>
                </c:pt>
                <c:pt idx="1">
                  <c:v>16.116071653251218</c:v>
                </c:pt>
                <c:pt idx="2">
                  <c:v>14.490937407554448</c:v>
                </c:pt>
                <c:pt idx="3">
                  <c:v>13.221435488094302</c:v>
                </c:pt>
                <c:pt idx="4">
                  <c:v>12.731401517210591</c:v>
                </c:pt>
                <c:pt idx="5">
                  <c:v>12.209581519461004</c:v>
                </c:pt>
              </c:numCache>
            </c:numRef>
          </c:val>
          <c:smooth val="0"/>
          <c:extLst>
            <c:ext xmlns:c16="http://schemas.microsoft.com/office/drawing/2014/chart" uri="{C3380CC4-5D6E-409C-BE32-E72D297353CC}">
              <c16:uniqueId val="{00000000-3E9B-4DD0-A1AD-7DA7940101C9}"/>
            </c:ext>
          </c:extLst>
        </c:ser>
        <c:dLbls>
          <c:showLegendKey val="0"/>
          <c:showVal val="0"/>
          <c:showCatName val="0"/>
          <c:showSerName val="0"/>
          <c:showPercent val="0"/>
          <c:showBubbleSize val="0"/>
        </c:dLbls>
        <c:marker val="1"/>
        <c:smooth val="0"/>
        <c:axId val="1295250879"/>
        <c:axId val="1295247135"/>
      </c:lineChart>
      <c:catAx>
        <c:axId val="1295250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247135"/>
        <c:crosses val="autoZero"/>
        <c:auto val="1"/>
        <c:lblAlgn val="ctr"/>
        <c:lblOffset val="100"/>
        <c:noMultiLvlLbl val="0"/>
      </c:catAx>
      <c:valAx>
        <c:axId val="1295247135"/>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250879"/>
        <c:crosses val="autoZero"/>
        <c:crossBetween val="between"/>
        <c:majorUnit val="3"/>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US"/>
              <a:t>DPS</a:t>
            </a:r>
          </a:p>
        </c:rich>
      </c:tx>
      <c:layout>
        <c:manualLayout>
          <c:xMode val="edge"/>
          <c:yMode val="edge"/>
          <c:x val="0.48298803061024265"/>
          <c:y val="6.6037919805526132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Model!$AO$11</c:f>
              <c:strCache>
                <c:ptCount val="1"/>
                <c:pt idx="0">
                  <c:v>Dividends per Share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Model!$AQ$5:$AV$5</c:f>
              <c:numCache>
                <c:formatCode>General</c:formatCode>
                <c:ptCount val="6"/>
                <c:pt idx="0">
                  <c:v>1</c:v>
                </c:pt>
                <c:pt idx="1">
                  <c:v>2</c:v>
                </c:pt>
                <c:pt idx="2">
                  <c:v>3</c:v>
                </c:pt>
                <c:pt idx="3">
                  <c:v>4</c:v>
                </c:pt>
                <c:pt idx="4">
                  <c:v>5</c:v>
                </c:pt>
                <c:pt idx="5">
                  <c:v>6</c:v>
                </c:pt>
              </c:numCache>
            </c:numRef>
          </c:cat>
          <c:val>
            <c:numRef>
              <c:f>Model!$AQ$11:$AV$11</c:f>
              <c:numCache>
                <c:formatCode>"$"#,##0.00</c:formatCode>
                <c:ptCount val="6"/>
                <c:pt idx="0">
                  <c:v>0.32805801453002648</c:v>
                </c:pt>
                <c:pt idx="1">
                  <c:v>0.88070761192059888</c:v>
                </c:pt>
                <c:pt idx="2">
                  <c:v>0.5754966198267415</c:v>
                </c:pt>
                <c:pt idx="3">
                  <c:v>0.66807846065768173</c:v>
                </c:pt>
                <c:pt idx="4">
                  <c:v>0.72802780823533042</c:v>
                </c:pt>
                <c:pt idx="5">
                  <c:v>0.75815713952991193</c:v>
                </c:pt>
              </c:numCache>
            </c:numRef>
          </c:val>
          <c:smooth val="0"/>
          <c:extLst>
            <c:ext xmlns:c16="http://schemas.microsoft.com/office/drawing/2014/chart" uri="{C3380CC4-5D6E-409C-BE32-E72D297353CC}">
              <c16:uniqueId val="{00000000-794E-40A0-A1AB-F676D3C62EA7}"/>
            </c:ext>
          </c:extLst>
        </c:ser>
        <c:dLbls>
          <c:showLegendKey val="0"/>
          <c:showVal val="0"/>
          <c:showCatName val="0"/>
          <c:showSerName val="0"/>
          <c:showPercent val="0"/>
          <c:showBubbleSize val="0"/>
        </c:dLbls>
        <c:marker val="1"/>
        <c:smooth val="0"/>
        <c:axId val="1289900351"/>
        <c:axId val="1289894111"/>
      </c:lineChart>
      <c:catAx>
        <c:axId val="128990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894111"/>
        <c:crosses val="autoZero"/>
        <c:auto val="1"/>
        <c:lblAlgn val="ctr"/>
        <c:lblOffset val="100"/>
        <c:noMultiLvlLbl val="0"/>
      </c:catAx>
      <c:valAx>
        <c:axId val="128989411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00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552449</xdr:colOff>
      <xdr:row>16</xdr:row>
      <xdr:rowOff>95251</xdr:rowOff>
    </xdr:from>
    <xdr:to>
      <xdr:col>12</xdr:col>
      <xdr:colOff>200024</xdr:colOff>
      <xdr:row>18</xdr:row>
      <xdr:rowOff>128589</xdr:rowOff>
    </xdr:to>
    <xdr:sp macro="[0]!GotoModel" textlink="">
      <xdr:nvSpPr>
        <xdr:cNvPr id="2" name="Rectangle 1">
          <a:extLst>
            <a:ext uri="{FF2B5EF4-FFF2-40B4-BE49-F238E27FC236}">
              <a16:creationId xmlns:a16="http://schemas.microsoft.com/office/drawing/2014/main" id="{A9252F20-C252-4984-972A-CC017F0D71D4}"/>
            </a:ext>
          </a:extLst>
        </xdr:cNvPr>
        <xdr:cNvSpPr/>
      </xdr:nvSpPr>
      <xdr:spPr>
        <a:xfrm>
          <a:off x="7053262" y="2266951"/>
          <a:ext cx="942975" cy="44291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21</xdr:row>
      <xdr:rowOff>139700</xdr:rowOff>
    </xdr:from>
    <xdr:to>
      <xdr:col>10</xdr:col>
      <xdr:colOff>25400</xdr:colOff>
      <xdr:row>24</xdr:row>
      <xdr:rowOff>25400</xdr:rowOff>
    </xdr:to>
    <xdr:sp macro="[0]!Sheet1.Alt_method" textlink="">
      <xdr:nvSpPr>
        <xdr:cNvPr id="7" name="Rectangle 6">
          <a:extLst>
            <a:ext uri="{FF2B5EF4-FFF2-40B4-BE49-F238E27FC236}">
              <a16:creationId xmlns:a16="http://schemas.microsoft.com/office/drawing/2014/main" id="{35203851-7A7C-7D45-BAE6-755F8066F624}"/>
            </a:ext>
          </a:extLst>
        </xdr:cNvPr>
        <xdr:cNvSpPr/>
      </xdr:nvSpPr>
      <xdr:spPr>
        <a:xfrm>
          <a:off x="10452100" y="4191000"/>
          <a:ext cx="1524000" cy="4572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latin typeface="Calibri" panose="020F0502020204030204" pitchFamily="34" charset="0"/>
            </a:rPr>
            <a:t>View Price using Alternative Method</a:t>
          </a:r>
          <a:endParaRPr lang="en-US" sz="1100">
            <a:latin typeface="Calibri" panose="020F0502020204030204" pitchFamily="34" charset="0"/>
          </a:endParaRPr>
        </a:p>
      </xdr:txBody>
    </xdr:sp>
    <xdr:clientData/>
  </xdr:twoCellAnchor>
  <xdr:twoCellAnchor>
    <xdr:from>
      <xdr:col>8</xdr:col>
      <xdr:colOff>0</xdr:colOff>
      <xdr:row>20</xdr:row>
      <xdr:rowOff>25400</xdr:rowOff>
    </xdr:from>
    <xdr:to>
      <xdr:col>10</xdr:col>
      <xdr:colOff>12700</xdr:colOff>
      <xdr:row>21</xdr:row>
      <xdr:rowOff>101600</xdr:rowOff>
    </xdr:to>
    <xdr:sp macro="[0]!Sheet1.GoTo_Model_Details" textlink="">
      <xdr:nvSpPr>
        <xdr:cNvPr id="17" name="Rectangle 16">
          <a:extLst>
            <a:ext uri="{FF2B5EF4-FFF2-40B4-BE49-F238E27FC236}">
              <a16:creationId xmlns:a16="http://schemas.microsoft.com/office/drawing/2014/main" id="{2AFD3321-961F-D54F-8556-F6EFC820CAD9}"/>
            </a:ext>
          </a:extLst>
        </xdr:cNvPr>
        <xdr:cNvSpPr/>
      </xdr:nvSpPr>
      <xdr:spPr>
        <a:xfrm>
          <a:off x="10452100" y="3886200"/>
          <a:ext cx="13589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Model</a:t>
          </a:r>
          <a:r>
            <a:rPr lang="en-US" sz="1100" baseline="0"/>
            <a:t> Details</a:t>
          </a:r>
          <a:endParaRPr lang="en-US" sz="1100"/>
        </a:p>
      </xdr:txBody>
    </xdr:sp>
    <xdr:clientData/>
  </xdr:twoCellAnchor>
  <xdr:twoCellAnchor>
    <xdr:from>
      <xdr:col>36</xdr:col>
      <xdr:colOff>0</xdr:colOff>
      <xdr:row>102</xdr:row>
      <xdr:rowOff>0</xdr:rowOff>
    </xdr:from>
    <xdr:to>
      <xdr:col>37</xdr:col>
      <xdr:colOff>320675</xdr:colOff>
      <xdr:row>104</xdr:row>
      <xdr:rowOff>84138</xdr:rowOff>
    </xdr:to>
    <xdr:sp macro="[0]!GotoModel" textlink="">
      <xdr:nvSpPr>
        <xdr:cNvPr id="26" name="Rectangle 25">
          <a:extLst>
            <a:ext uri="{FF2B5EF4-FFF2-40B4-BE49-F238E27FC236}">
              <a16:creationId xmlns:a16="http://schemas.microsoft.com/office/drawing/2014/main" id="{82512FA6-CEA1-8243-A0ED-03E73EF6BF1D}"/>
            </a:ext>
          </a:extLst>
        </xdr:cNvPr>
        <xdr:cNvSpPr/>
      </xdr:nvSpPr>
      <xdr:spPr>
        <a:xfrm>
          <a:off x="33947100" y="19481800"/>
          <a:ext cx="993775" cy="46513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twoCellAnchor>
    <xdr:from>
      <xdr:col>36</xdr:col>
      <xdr:colOff>0</xdr:colOff>
      <xdr:row>73</xdr:row>
      <xdr:rowOff>0</xdr:rowOff>
    </xdr:from>
    <xdr:to>
      <xdr:col>37</xdr:col>
      <xdr:colOff>320675</xdr:colOff>
      <xdr:row>75</xdr:row>
      <xdr:rowOff>84138</xdr:rowOff>
    </xdr:to>
    <xdr:sp macro="[0]!GotoModel" textlink="">
      <xdr:nvSpPr>
        <xdr:cNvPr id="27" name="Rectangle 26">
          <a:extLst>
            <a:ext uri="{FF2B5EF4-FFF2-40B4-BE49-F238E27FC236}">
              <a16:creationId xmlns:a16="http://schemas.microsoft.com/office/drawing/2014/main" id="{692458C8-7AA8-C040-B1DF-E5DC5F4B5C89}"/>
            </a:ext>
          </a:extLst>
        </xdr:cNvPr>
        <xdr:cNvSpPr/>
      </xdr:nvSpPr>
      <xdr:spPr>
        <a:xfrm>
          <a:off x="33947100" y="13957300"/>
          <a:ext cx="993775" cy="46513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twoCellAnchor>
    <xdr:from>
      <xdr:col>36</xdr:col>
      <xdr:colOff>0</xdr:colOff>
      <xdr:row>8</xdr:row>
      <xdr:rowOff>0</xdr:rowOff>
    </xdr:from>
    <xdr:to>
      <xdr:col>37</xdr:col>
      <xdr:colOff>320675</xdr:colOff>
      <xdr:row>10</xdr:row>
      <xdr:rowOff>84138</xdr:rowOff>
    </xdr:to>
    <xdr:sp macro="[0]!GotoModel" textlink="">
      <xdr:nvSpPr>
        <xdr:cNvPr id="28" name="Rectangle 27">
          <a:extLst>
            <a:ext uri="{FF2B5EF4-FFF2-40B4-BE49-F238E27FC236}">
              <a16:creationId xmlns:a16="http://schemas.microsoft.com/office/drawing/2014/main" id="{4596C39F-1029-1848-A68C-7C2B5964298D}"/>
            </a:ext>
          </a:extLst>
        </xdr:cNvPr>
        <xdr:cNvSpPr/>
      </xdr:nvSpPr>
      <xdr:spPr>
        <a:xfrm>
          <a:off x="33947100" y="1574800"/>
          <a:ext cx="993775" cy="46513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twoCellAnchor>
    <xdr:from>
      <xdr:col>8</xdr:col>
      <xdr:colOff>0</xdr:colOff>
      <xdr:row>39</xdr:row>
      <xdr:rowOff>114300</xdr:rowOff>
    </xdr:from>
    <xdr:to>
      <xdr:col>10</xdr:col>
      <xdr:colOff>25400</xdr:colOff>
      <xdr:row>42</xdr:row>
      <xdr:rowOff>0</xdr:rowOff>
    </xdr:to>
    <xdr:sp macro="[0]!Sheet1.Alt_method" textlink="">
      <xdr:nvSpPr>
        <xdr:cNvPr id="30" name="Rectangle 29">
          <a:extLst>
            <a:ext uri="{FF2B5EF4-FFF2-40B4-BE49-F238E27FC236}">
              <a16:creationId xmlns:a16="http://schemas.microsoft.com/office/drawing/2014/main" id="{09C684AC-46D8-BA4A-A7BD-C070BF97EB4D}"/>
            </a:ext>
          </a:extLst>
        </xdr:cNvPr>
        <xdr:cNvSpPr/>
      </xdr:nvSpPr>
      <xdr:spPr>
        <a:xfrm>
          <a:off x="10452100" y="7594600"/>
          <a:ext cx="1524000" cy="4572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latin typeface="Calibri" panose="020F0502020204030204" pitchFamily="34" charset="0"/>
            </a:rPr>
            <a:t>View Price using Alternative Method</a:t>
          </a:r>
          <a:endParaRPr lang="en-US" sz="1100">
            <a:latin typeface="Calibri" panose="020F0502020204030204" pitchFamily="34" charset="0"/>
          </a:endParaRPr>
        </a:p>
      </xdr:txBody>
    </xdr:sp>
    <xdr:clientData/>
  </xdr:twoCellAnchor>
  <xdr:twoCellAnchor>
    <xdr:from>
      <xdr:col>8</xdr:col>
      <xdr:colOff>0</xdr:colOff>
      <xdr:row>38</xdr:row>
      <xdr:rowOff>0</xdr:rowOff>
    </xdr:from>
    <xdr:to>
      <xdr:col>10</xdr:col>
      <xdr:colOff>12700</xdr:colOff>
      <xdr:row>39</xdr:row>
      <xdr:rowOff>76200</xdr:rowOff>
    </xdr:to>
    <xdr:sp macro="[0]!Sheet1.GoTo_Model_Details" textlink="">
      <xdr:nvSpPr>
        <xdr:cNvPr id="31" name="Rectangle 30">
          <a:extLst>
            <a:ext uri="{FF2B5EF4-FFF2-40B4-BE49-F238E27FC236}">
              <a16:creationId xmlns:a16="http://schemas.microsoft.com/office/drawing/2014/main" id="{2340FB50-1C21-8F4D-A055-109596801AD0}"/>
            </a:ext>
          </a:extLst>
        </xdr:cNvPr>
        <xdr:cNvSpPr/>
      </xdr:nvSpPr>
      <xdr:spPr>
        <a:xfrm>
          <a:off x="10452100" y="7289800"/>
          <a:ext cx="13589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Model</a:t>
          </a:r>
          <a:r>
            <a:rPr lang="en-US" sz="1100" baseline="0"/>
            <a:t> Details</a:t>
          </a:r>
          <a:endParaRPr lang="en-US" sz="1100"/>
        </a:p>
      </xdr:txBody>
    </xdr:sp>
    <xdr:clientData/>
  </xdr:twoCellAnchor>
  <xdr:twoCellAnchor>
    <xdr:from>
      <xdr:col>8</xdr:col>
      <xdr:colOff>0</xdr:colOff>
      <xdr:row>67</xdr:row>
      <xdr:rowOff>114300</xdr:rowOff>
    </xdr:from>
    <xdr:to>
      <xdr:col>10</xdr:col>
      <xdr:colOff>25400</xdr:colOff>
      <xdr:row>70</xdr:row>
      <xdr:rowOff>0</xdr:rowOff>
    </xdr:to>
    <xdr:sp macro="[0]!Sheet1.Alt_method" textlink="">
      <xdr:nvSpPr>
        <xdr:cNvPr id="32" name="Rectangle 31">
          <a:extLst>
            <a:ext uri="{FF2B5EF4-FFF2-40B4-BE49-F238E27FC236}">
              <a16:creationId xmlns:a16="http://schemas.microsoft.com/office/drawing/2014/main" id="{E94B0D94-2ADE-A744-9B47-1CCA7CA540DA}"/>
            </a:ext>
          </a:extLst>
        </xdr:cNvPr>
        <xdr:cNvSpPr/>
      </xdr:nvSpPr>
      <xdr:spPr>
        <a:xfrm>
          <a:off x="10452100" y="12928600"/>
          <a:ext cx="1524000" cy="4572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latin typeface="Calibri" panose="020F0502020204030204" pitchFamily="34" charset="0"/>
            </a:rPr>
            <a:t>View Price using Alternative Method</a:t>
          </a:r>
          <a:endParaRPr lang="en-US" sz="1100">
            <a:latin typeface="Calibri" panose="020F0502020204030204" pitchFamily="34" charset="0"/>
          </a:endParaRPr>
        </a:p>
      </xdr:txBody>
    </xdr:sp>
    <xdr:clientData/>
  </xdr:twoCellAnchor>
  <xdr:twoCellAnchor>
    <xdr:from>
      <xdr:col>8</xdr:col>
      <xdr:colOff>0</xdr:colOff>
      <xdr:row>66</xdr:row>
      <xdr:rowOff>0</xdr:rowOff>
    </xdr:from>
    <xdr:to>
      <xdr:col>10</xdr:col>
      <xdr:colOff>12700</xdr:colOff>
      <xdr:row>67</xdr:row>
      <xdr:rowOff>76200</xdr:rowOff>
    </xdr:to>
    <xdr:sp macro="[0]!Sheet1.GoTo_Model_Details" textlink="">
      <xdr:nvSpPr>
        <xdr:cNvPr id="33" name="Rectangle 32">
          <a:extLst>
            <a:ext uri="{FF2B5EF4-FFF2-40B4-BE49-F238E27FC236}">
              <a16:creationId xmlns:a16="http://schemas.microsoft.com/office/drawing/2014/main" id="{3AD6D56C-A734-7846-967D-AED0C8F508CA}"/>
            </a:ext>
          </a:extLst>
        </xdr:cNvPr>
        <xdr:cNvSpPr/>
      </xdr:nvSpPr>
      <xdr:spPr>
        <a:xfrm>
          <a:off x="10452100" y="12623800"/>
          <a:ext cx="13589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Model</a:t>
          </a:r>
          <a:r>
            <a:rPr lang="en-US" sz="1100" baseline="0"/>
            <a:t> Details</a:t>
          </a:r>
          <a:endParaRPr lang="en-US" sz="1100"/>
        </a:p>
      </xdr:txBody>
    </xdr:sp>
    <xdr:clientData/>
  </xdr:twoCellAnchor>
  <xdr:twoCellAnchor>
    <xdr:from>
      <xdr:col>8</xdr:col>
      <xdr:colOff>0</xdr:colOff>
      <xdr:row>93</xdr:row>
      <xdr:rowOff>114300</xdr:rowOff>
    </xdr:from>
    <xdr:to>
      <xdr:col>10</xdr:col>
      <xdr:colOff>25400</xdr:colOff>
      <xdr:row>96</xdr:row>
      <xdr:rowOff>0</xdr:rowOff>
    </xdr:to>
    <xdr:sp macro="[0]!Sheet1.Alt_method" textlink="">
      <xdr:nvSpPr>
        <xdr:cNvPr id="34" name="Rectangle 33">
          <a:extLst>
            <a:ext uri="{FF2B5EF4-FFF2-40B4-BE49-F238E27FC236}">
              <a16:creationId xmlns:a16="http://schemas.microsoft.com/office/drawing/2014/main" id="{1CEE5A02-7AF8-ED43-880A-6A160661F549}"/>
            </a:ext>
          </a:extLst>
        </xdr:cNvPr>
        <xdr:cNvSpPr/>
      </xdr:nvSpPr>
      <xdr:spPr>
        <a:xfrm>
          <a:off x="10452100" y="17881600"/>
          <a:ext cx="1524000" cy="4572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latin typeface="Calibri" panose="020F0502020204030204" pitchFamily="34" charset="0"/>
            </a:rPr>
            <a:t>View Price using Alternative Method</a:t>
          </a:r>
          <a:endParaRPr lang="en-US" sz="1100">
            <a:latin typeface="Calibri" panose="020F0502020204030204" pitchFamily="34" charset="0"/>
          </a:endParaRPr>
        </a:p>
      </xdr:txBody>
    </xdr:sp>
    <xdr:clientData/>
  </xdr:twoCellAnchor>
  <xdr:twoCellAnchor>
    <xdr:from>
      <xdr:col>8</xdr:col>
      <xdr:colOff>0</xdr:colOff>
      <xdr:row>92</xdr:row>
      <xdr:rowOff>0</xdr:rowOff>
    </xdr:from>
    <xdr:to>
      <xdr:col>10</xdr:col>
      <xdr:colOff>12700</xdr:colOff>
      <xdr:row>93</xdr:row>
      <xdr:rowOff>76200</xdr:rowOff>
    </xdr:to>
    <xdr:sp macro="[0]!Sheet1.GoTo_Model_Details" textlink="">
      <xdr:nvSpPr>
        <xdr:cNvPr id="35" name="Rectangle 34">
          <a:extLst>
            <a:ext uri="{FF2B5EF4-FFF2-40B4-BE49-F238E27FC236}">
              <a16:creationId xmlns:a16="http://schemas.microsoft.com/office/drawing/2014/main" id="{B74E97B6-0125-2A4A-8A8C-C330014EA2E4}"/>
            </a:ext>
          </a:extLst>
        </xdr:cNvPr>
        <xdr:cNvSpPr/>
      </xdr:nvSpPr>
      <xdr:spPr>
        <a:xfrm>
          <a:off x="10452100" y="17576800"/>
          <a:ext cx="13589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Model</a:t>
          </a:r>
          <a:r>
            <a:rPr lang="en-US" sz="1100" baseline="0"/>
            <a:t> Details</a:t>
          </a:r>
          <a:endParaRPr lang="en-US" sz="1100"/>
        </a:p>
      </xdr:txBody>
    </xdr:sp>
    <xdr:clientData/>
  </xdr:twoCellAnchor>
  <xdr:twoCellAnchor>
    <xdr:from>
      <xdr:col>8</xdr:col>
      <xdr:colOff>0</xdr:colOff>
      <xdr:row>114</xdr:row>
      <xdr:rowOff>114300</xdr:rowOff>
    </xdr:from>
    <xdr:to>
      <xdr:col>10</xdr:col>
      <xdr:colOff>25400</xdr:colOff>
      <xdr:row>117</xdr:row>
      <xdr:rowOff>0</xdr:rowOff>
    </xdr:to>
    <xdr:sp macro="[0]!Sheet1.Alt_method" textlink="">
      <xdr:nvSpPr>
        <xdr:cNvPr id="36" name="Rectangle 35">
          <a:extLst>
            <a:ext uri="{FF2B5EF4-FFF2-40B4-BE49-F238E27FC236}">
              <a16:creationId xmlns:a16="http://schemas.microsoft.com/office/drawing/2014/main" id="{EEA12D45-E73E-C746-A5BF-8B14E5A9F87F}"/>
            </a:ext>
          </a:extLst>
        </xdr:cNvPr>
        <xdr:cNvSpPr/>
      </xdr:nvSpPr>
      <xdr:spPr>
        <a:xfrm>
          <a:off x="10452100" y="21882100"/>
          <a:ext cx="1524000" cy="4572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latin typeface="Calibri" panose="020F0502020204030204" pitchFamily="34" charset="0"/>
            </a:rPr>
            <a:t>View Price using Alternative Method</a:t>
          </a:r>
          <a:endParaRPr lang="en-US" sz="1100">
            <a:latin typeface="Calibri" panose="020F0502020204030204" pitchFamily="34" charset="0"/>
          </a:endParaRPr>
        </a:p>
      </xdr:txBody>
    </xdr:sp>
    <xdr:clientData/>
  </xdr:twoCellAnchor>
  <xdr:twoCellAnchor>
    <xdr:from>
      <xdr:col>8</xdr:col>
      <xdr:colOff>0</xdr:colOff>
      <xdr:row>113</xdr:row>
      <xdr:rowOff>0</xdr:rowOff>
    </xdr:from>
    <xdr:to>
      <xdr:col>10</xdr:col>
      <xdr:colOff>12700</xdr:colOff>
      <xdr:row>114</xdr:row>
      <xdr:rowOff>76200</xdr:rowOff>
    </xdr:to>
    <xdr:sp macro="[0]!Sheet1.GoTo_Model_Details" textlink="">
      <xdr:nvSpPr>
        <xdr:cNvPr id="37" name="Rectangle 36">
          <a:extLst>
            <a:ext uri="{FF2B5EF4-FFF2-40B4-BE49-F238E27FC236}">
              <a16:creationId xmlns:a16="http://schemas.microsoft.com/office/drawing/2014/main" id="{AE993DE2-7265-7445-987C-2775A6640E71}"/>
            </a:ext>
          </a:extLst>
        </xdr:cNvPr>
        <xdr:cNvSpPr/>
      </xdr:nvSpPr>
      <xdr:spPr>
        <a:xfrm>
          <a:off x="10452100" y="21577300"/>
          <a:ext cx="13589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Model</a:t>
          </a:r>
          <a:r>
            <a:rPr lang="en-US" sz="1100" baseline="0"/>
            <a:t> Details</a:t>
          </a:r>
          <a:endParaRPr lang="en-US" sz="1100"/>
        </a:p>
      </xdr:txBody>
    </xdr:sp>
    <xdr:clientData/>
  </xdr:twoCellAnchor>
  <xdr:twoCellAnchor>
    <xdr:from>
      <xdr:col>67</xdr:col>
      <xdr:colOff>536575</xdr:colOff>
      <xdr:row>19</xdr:row>
      <xdr:rowOff>69850</xdr:rowOff>
    </xdr:from>
    <xdr:to>
      <xdr:col>69</xdr:col>
      <xdr:colOff>266700</xdr:colOff>
      <xdr:row>21</xdr:row>
      <xdr:rowOff>153988</xdr:rowOff>
    </xdr:to>
    <xdr:sp macro="[0]!GotoModel" textlink="">
      <xdr:nvSpPr>
        <xdr:cNvPr id="38" name="Rectangle 37">
          <a:extLst>
            <a:ext uri="{FF2B5EF4-FFF2-40B4-BE49-F238E27FC236}">
              <a16:creationId xmlns:a16="http://schemas.microsoft.com/office/drawing/2014/main" id="{0CF0DC37-AFB9-AC44-862B-E9612FD26B97}"/>
            </a:ext>
          </a:extLst>
        </xdr:cNvPr>
        <xdr:cNvSpPr/>
      </xdr:nvSpPr>
      <xdr:spPr>
        <a:xfrm>
          <a:off x="50133250" y="3736975"/>
          <a:ext cx="911225" cy="46513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twoCellAnchor>
    <xdr:from>
      <xdr:col>83</xdr:col>
      <xdr:colOff>0</xdr:colOff>
      <xdr:row>28</xdr:row>
      <xdr:rowOff>0</xdr:rowOff>
    </xdr:from>
    <xdr:to>
      <xdr:col>84</xdr:col>
      <xdr:colOff>206375</xdr:colOff>
      <xdr:row>30</xdr:row>
      <xdr:rowOff>84138</xdr:rowOff>
    </xdr:to>
    <xdr:sp macro="[0]!GotoModel" textlink="">
      <xdr:nvSpPr>
        <xdr:cNvPr id="25" name="Rectangle 24">
          <a:extLst>
            <a:ext uri="{FF2B5EF4-FFF2-40B4-BE49-F238E27FC236}">
              <a16:creationId xmlns:a16="http://schemas.microsoft.com/office/drawing/2014/main" id="{57B2D633-E62A-804B-B5F8-8CF0F700A641}"/>
            </a:ext>
          </a:extLst>
        </xdr:cNvPr>
        <xdr:cNvSpPr/>
      </xdr:nvSpPr>
      <xdr:spPr>
        <a:xfrm>
          <a:off x="69862700" y="5384800"/>
          <a:ext cx="993775" cy="465138"/>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Model</a:t>
          </a:r>
        </a:p>
      </xdr:txBody>
    </xdr:sp>
    <xdr:clientData/>
  </xdr:twoCellAnchor>
  <xdr:twoCellAnchor>
    <xdr:from>
      <xdr:col>8</xdr:col>
      <xdr:colOff>0</xdr:colOff>
      <xdr:row>24</xdr:row>
      <xdr:rowOff>63500</xdr:rowOff>
    </xdr:from>
    <xdr:to>
      <xdr:col>10</xdr:col>
      <xdr:colOff>12700</xdr:colOff>
      <xdr:row>25</xdr:row>
      <xdr:rowOff>139700</xdr:rowOff>
    </xdr:to>
    <xdr:sp macro="[0]!Sheet1.Goto_Model_Forecast_Charts" textlink="">
      <xdr:nvSpPr>
        <xdr:cNvPr id="29" name="Rectangle 28">
          <a:extLst>
            <a:ext uri="{FF2B5EF4-FFF2-40B4-BE49-F238E27FC236}">
              <a16:creationId xmlns:a16="http://schemas.microsoft.com/office/drawing/2014/main" id="{22EC5D76-0F23-F740-BF66-51ED2FEB15BB}"/>
            </a:ext>
          </a:extLst>
        </xdr:cNvPr>
        <xdr:cNvSpPr/>
      </xdr:nvSpPr>
      <xdr:spPr>
        <a:xfrm>
          <a:off x="10452100" y="4686300"/>
          <a:ext cx="15113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Value</a:t>
          </a:r>
          <a:r>
            <a:rPr lang="en-US" sz="1100" baseline="0"/>
            <a:t> Charts</a:t>
          </a:r>
          <a:endParaRPr lang="en-US" sz="1100"/>
        </a:p>
      </xdr:txBody>
    </xdr:sp>
    <xdr:clientData/>
  </xdr:twoCellAnchor>
  <xdr:twoCellAnchor>
    <xdr:from>
      <xdr:col>8</xdr:col>
      <xdr:colOff>12700</xdr:colOff>
      <xdr:row>42</xdr:row>
      <xdr:rowOff>38100</xdr:rowOff>
    </xdr:from>
    <xdr:to>
      <xdr:col>10</xdr:col>
      <xdr:colOff>25400</xdr:colOff>
      <xdr:row>43</xdr:row>
      <xdr:rowOff>114300</xdr:rowOff>
    </xdr:to>
    <xdr:sp macro="[0]!Sheet1.Goto_Model_Forecast_Charts" textlink="">
      <xdr:nvSpPr>
        <xdr:cNvPr id="39" name="Rectangle 38">
          <a:extLst>
            <a:ext uri="{FF2B5EF4-FFF2-40B4-BE49-F238E27FC236}">
              <a16:creationId xmlns:a16="http://schemas.microsoft.com/office/drawing/2014/main" id="{C00DC84E-9A4D-D645-B791-79CC3461B078}"/>
            </a:ext>
          </a:extLst>
        </xdr:cNvPr>
        <xdr:cNvSpPr/>
      </xdr:nvSpPr>
      <xdr:spPr>
        <a:xfrm>
          <a:off x="10464800" y="8089900"/>
          <a:ext cx="15113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Value</a:t>
          </a:r>
          <a:r>
            <a:rPr lang="en-US" sz="1100" baseline="0"/>
            <a:t> Charts</a:t>
          </a:r>
          <a:endParaRPr lang="en-US" sz="1100"/>
        </a:p>
      </xdr:txBody>
    </xdr:sp>
    <xdr:clientData/>
  </xdr:twoCellAnchor>
  <xdr:twoCellAnchor>
    <xdr:from>
      <xdr:col>8</xdr:col>
      <xdr:colOff>0</xdr:colOff>
      <xdr:row>70</xdr:row>
      <xdr:rowOff>38100</xdr:rowOff>
    </xdr:from>
    <xdr:to>
      <xdr:col>10</xdr:col>
      <xdr:colOff>12700</xdr:colOff>
      <xdr:row>71</xdr:row>
      <xdr:rowOff>114300</xdr:rowOff>
    </xdr:to>
    <xdr:sp macro="[0]!Sheet1.Goto_Model_Forecast_Charts" textlink="">
      <xdr:nvSpPr>
        <xdr:cNvPr id="40" name="Rectangle 39">
          <a:extLst>
            <a:ext uri="{FF2B5EF4-FFF2-40B4-BE49-F238E27FC236}">
              <a16:creationId xmlns:a16="http://schemas.microsoft.com/office/drawing/2014/main" id="{94C21949-079A-FC40-98F6-038316B291B8}"/>
            </a:ext>
          </a:extLst>
        </xdr:cNvPr>
        <xdr:cNvSpPr/>
      </xdr:nvSpPr>
      <xdr:spPr>
        <a:xfrm>
          <a:off x="10452100" y="13423900"/>
          <a:ext cx="15113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Value</a:t>
          </a:r>
          <a:r>
            <a:rPr lang="en-US" sz="1100" baseline="0"/>
            <a:t> Charts</a:t>
          </a:r>
          <a:endParaRPr lang="en-US" sz="1100"/>
        </a:p>
      </xdr:txBody>
    </xdr:sp>
    <xdr:clientData/>
  </xdr:twoCellAnchor>
  <xdr:twoCellAnchor>
    <xdr:from>
      <xdr:col>8</xdr:col>
      <xdr:colOff>0</xdr:colOff>
      <xdr:row>96</xdr:row>
      <xdr:rowOff>38100</xdr:rowOff>
    </xdr:from>
    <xdr:to>
      <xdr:col>10</xdr:col>
      <xdr:colOff>12700</xdr:colOff>
      <xdr:row>97</xdr:row>
      <xdr:rowOff>114300</xdr:rowOff>
    </xdr:to>
    <xdr:sp macro="[0]!Sheet1.Goto_Model_Forecast_Charts" textlink="">
      <xdr:nvSpPr>
        <xdr:cNvPr id="41" name="Rectangle 40">
          <a:extLst>
            <a:ext uri="{FF2B5EF4-FFF2-40B4-BE49-F238E27FC236}">
              <a16:creationId xmlns:a16="http://schemas.microsoft.com/office/drawing/2014/main" id="{D47E9CA4-3A4C-8149-AC4D-D76C50E741D7}"/>
            </a:ext>
          </a:extLst>
        </xdr:cNvPr>
        <xdr:cNvSpPr/>
      </xdr:nvSpPr>
      <xdr:spPr>
        <a:xfrm>
          <a:off x="10452100" y="18376900"/>
          <a:ext cx="15113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Value</a:t>
          </a:r>
          <a:r>
            <a:rPr lang="en-US" sz="1100" baseline="0"/>
            <a:t> Charts</a:t>
          </a:r>
          <a:endParaRPr lang="en-US" sz="1100"/>
        </a:p>
      </xdr:txBody>
    </xdr:sp>
    <xdr:clientData/>
  </xdr:twoCellAnchor>
  <xdr:twoCellAnchor>
    <xdr:from>
      <xdr:col>8</xdr:col>
      <xdr:colOff>0</xdr:colOff>
      <xdr:row>117</xdr:row>
      <xdr:rowOff>50800</xdr:rowOff>
    </xdr:from>
    <xdr:to>
      <xdr:col>10</xdr:col>
      <xdr:colOff>12700</xdr:colOff>
      <xdr:row>118</xdr:row>
      <xdr:rowOff>127000</xdr:rowOff>
    </xdr:to>
    <xdr:sp macro="[0]!Sheet1.Goto_Model_Forecast_Charts" textlink="">
      <xdr:nvSpPr>
        <xdr:cNvPr id="42" name="Rectangle 41">
          <a:extLst>
            <a:ext uri="{FF2B5EF4-FFF2-40B4-BE49-F238E27FC236}">
              <a16:creationId xmlns:a16="http://schemas.microsoft.com/office/drawing/2014/main" id="{8C880334-83BC-F041-8308-B394A7DADFEF}"/>
            </a:ext>
          </a:extLst>
        </xdr:cNvPr>
        <xdr:cNvSpPr/>
      </xdr:nvSpPr>
      <xdr:spPr>
        <a:xfrm>
          <a:off x="10452100" y="22390100"/>
          <a:ext cx="1511300" cy="2667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View Value</a:t>
          </a:r>
          <a:r>
            <a:rPr lang="en-US" sz="1100" baseline="0"/>
            <a:t> Charts</a:t>
          </a:r>
          <a:endParaRPr lang="en-US" sz="1100"/>
        </a:p>
      </xdr:txBody>
    </xdr:sp>
    <xdr:clientData/>
  </xdr:twoCellAnchor>
  <xdr:twoCellAnchor>
    <xdr:from>
      <xdr:col>48</xdr:col>
      <xdr:colOff>28575</xdr:colOff>
      <xdr:row>2</xdr:row>
      <xdr:rowOff>57149</xdr:rowOff>
    </xdr:from>
    <xdr:to>
      <xdr:col>53</xdr:col>
      <xdr:colOff>495300</xdr:colOff>
      <xdr:row>14</xdr:row>
      <xdr:rowOff>70172</xdr:rowOff>
    </xdr:to>
    <xdr:graphicFrame macro="">
      <xdr:nvGraphicFramePr>
        <xdr:cNvPr id="22" name="Chart 21">
          <a:extLst>
            <a:ext uri="{FF2B5EF4-FFF2-40B4-BE49-F238E27FC236}">
              <a16:creationId xmlns:a16="http://schemas.microsoft.com/office/drawing/2014/main" id="{DD38608E-67F4-4321-A7DD-FA012BFFAA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28576</xdr:colOff>
      <xdr:row>14</xdr:row>
      <xdr:rowOff>104707</xdr:rowOff>
    </xdr:from>
    <xdr:to>
      <xdr:col>53</xdr:col>
      <xdr:colOff>503521</xdr:colOff>
      <xdr:row>27</xdr:row>
      <xdr:rowOff>154098</xdr:rowOff>
    </xdr:to>
    <xdr:graphicFrame macro="">
      <xdr:nvGraphicFramePr>
        <xdr:cNvPr id="23" name="Chart 22">
          <a:extLst>
            <a:ext uri="{FF2B5EF4-FFF2-40B4-BE49-F238E27FC236}">
              <a16:creationId xmlns:a16="http://schemas.microsoft.com/office/drawing/2014/main" id="{15511D08-61C1-4ED8-A89E-6CB846E342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533401</xdr:colOff>
      <xdr:row>2</xdr:row>
      <xdr:rowOff>38316</xdr:rowOff>
    </xdr:from>
    <xdr:to>
      <xdr:col>60</xdr:col>
      <xdr:colOff>40963</xdr:colOff>
      <xdr:row>14</xdr:row>
      <xdr:rowOff>60081</xdr:rowOff>
    </xdr:to>
    <xdr:graphicFrame macro="">
      <xdr:nvGraphicFramePr>
        <xdr:cNvPr id="24" name="Chart 23">
          <a:extLst>
            <a:ext uri="{FF2B5EF4-FFF2-40B4-BE49-F238E27FC236}">
              <a16:creationId xmlns:a16="http://schemas.microsoft.com/office/drawing/2014/main" id="{10AD32EA-A838-4ECB-B324-95590A001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53</xdr:col>
      <xdr:colOff>523876</xdr:colOff>
      <xdr:row>14</xdr:row>
      <xdr:rowOff>85725</xdr:rowOff>
    </xdr:from>
    <xdr:to>
      <xdr:col>60</xdr:col>
      <xdr:colOff>47878</xdr:colOff>
      <xdr:row>27</xdr:row>
      <xdr:rowOff>152966</xdr:rowOff>
    </xdr:to>
    <xdr:graphicFrame macro="">
      <xdr:nvGraphicFramePr>
        <xdr:cNvPr id="43" name="Chart 42">
          <a:extLst>
            <a:ext uri="{FF2B5EF4-FFF2-40B4-BE49-F238E27FC236}">
              <a16:creationId xmlns:a16="http://schemas.microsoft.com/office/drawing/2014/main" id="{48DAB51E-1A1E-45F7-BBD2-834C14C458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60</xdr:col>
      <xdr:colOff>76201</xdr:colOff>
      <xdr:row>2</xdr:row>
      <xdr:rowOff>28791</xdr:rowOff>
    </xdr:from>
    <xdr:to>
      <xdr:col>66</xdr:col>
      <xdr:colOff>355151</xdr:colOff>
      <xdr:row>14</xdr:row>
      <xdr:rowOff>50556</xdr:rowOff>
    </xdr:to>
    <xdr:graphicFrame macro="">
      <xdr:nvGraphicFramePr>
        <xdr:cNvPr id="44" name="Chart 43">
          <a:extLst>
            <a:ext uri="{FF2B5EF4-FFF2-40B4-BE49-F238E27FC236}">
              <a16:creationId xmlns:a16="http://schemas.microsoft.com/office/drawing/2014/main" id="{1E07F2D4-9E4B-418F-9849-8BFAF19AA9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60</xdr:col>
      <xdr:colOff>76201</xdr:colOff>
      <xdr:row>14</xdr:row>
      <xdr:rowOff>76233</xdr:rowOff>
    </xdr:from>
    <xdr:to>
      <xdr:col>66</xdr:col>
      <xdr:colOff>355151</xdr:colOff>
      <xdr:row>27</xdr:row>
      <xdr:rowOff>152400</xdr:rowOff>
    </xdr:to>
    <xdr:graphicFrame macro="">
      <xdr:nvGraphicFramePr>
        <xdr:cNvPr id="45" name="Chart 44">
          <a:extLst>
            <a:ext uri="{FF2B5EF4-FFF2-40B4-BE49-F238E27FC236}">
              <a16:creationId xmlns:a16="http://schemas.microsoft.com/office/drawing/2014/main" id="{BC994153-0AFC-4714-B3F4-550D532DEA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66</xdr:col>
      <xdr:colOff>371475</xdr:colOff>
      <xdr:row>2</xdr:row>
      <xdr:rowOff>28575</xdr:rowOff>
    </xdr:from>
    <xdr:to>
      <xdr:col>73</xdr:col>
      <xdr:colOff>59875</xdr:colOff>
      <xdr:row>14</xdr:row>
      <xdr:rowOff>50340</xdr:rowOff>
    </xdr:to>
    <xdr:graphicFrame macro="">
      <xdr:nvGraphicFramePr>
        <xdr:cNvPr id="46" name="Chart 45">
          <a:extLst>
            <a:ext uri="{FF2B5EF4-FFF2-40B4-BE49-F238E27FC236}">
              <a16:creationId xmlns:a16="http://schemas.microsoft.com/office/drawing/2014/main" id="{AF01B4F4-0DFF-488D-92F9-036B1A32C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9677-66CB-4AE9-A65E-5EB507DFDD41}">
  <sheetPr codeName="Sheet3"/>
  <dimension ref="A1:J93"/>
  <sheetViews>
    <sheetView showGridLines="0" tabSelected="1" zoomScaleNormal="100" workbookViewId="0">
      <selection sqref="A1:J1"/>
    </sheetView>
  </sheetViews>
  <sheetFormatPr baseColWidth="10" defaultColWidth="8.83203125" defaultRowHeight="15" x14ac:dyDescent="0.2"/>
  <cols>
    <col min="10" max="10" width="9.33203125" customWidth="1"/>
  </cols>
  <sheetData>
    <row r="1" spans="1:10" ht="20" x14ac:dyDescent="0.2">
      <c r="A1" s="89" t="s">
        <v>145</v>
      </c>
      <c r="B1" s="89"/>
      <c r="C1" s="89"/>
      <c r="D1" s="89"/>
      <c r="E1" s="89"/>
      <c r="F1" s="89"/>
      <c r="G1" s="89"/>
      <c r="H1" s="89"/>
      <c r="I1" s="89"/>
      <c r="J1" s="89"/>
    </row>
    <row r="2" spans="1:10" x14ac:dyDescent="0.2">
      <c r="A2" s="77"/>
      <c r="B2" s="77"/>
      <c r="C2" s="77"/>
      <c r="D2" s="77"/>
      <c r="E2" s="77"/>
      <c r="F2" s="77"/>
      <c r="G2" s="77"/>
      <c r="H2" s="77"/>
      <c r="I2" s="77"/>
      <c r="J2" s="77"/>
    </row>
    <row r="3" spans="1:10" ht="19" x14ac:dyDescent="0.2">
      <c r="A3" s="74" t="s">
        <v>146</v>
      </c>
      <c r="B3" s="69"/>
      <c r="C3" s="69"/>
      <c r="D3" s="69"/>
      <c r="E3" s="69"/>
      <c r="F3" s="69"/>
      <c r="G3" s="69"/>
      <c r="H3" s="69"/>
      <c r="I3" s="69"/>
      <c r="J3" s="69"/>
    </row>
    <row r="4" spans="1:10" x14ac:dyDescent="0.2">
      <c r="A4" s="68"/>
      <c r="B4" s="69"/>
      <c r="C4" s="69"/>
      <c r="D4" s="69"/>
      <c r="E4" s="69"/>
      <c r="F4" s="69"/>
      <c r="G4" s="69"/>
      <c r="H4" s="69"/>
      <c r="I4" s="69"/>
      <c r="J4" s="69"/>
    </row>
    <row r="5" spans="1:10" x14ac:dyDescent="0.2">
      <c r="A5" s="86" t="s">
        <v>147</v>
      </c>
      <c r="B5" s="86"/>
      <c r="C5" s="86"/>
      <c r="D5" s="86"/>
      <c r="E5" s="86"/>
      <c r="F5" s="86"/>
      <c r="G5" s="86"/>
      <c r="H5" s="86"/>
      <c r="I5" s="86"/>
      <c r="J5" s="86"/>
    </row>
    <row r="6" spans="1:10" x14ac:dyDescent="0.2">
      <c r="A6" s="86"/>
      <c r="B6" s="86"/>
      <c r="C6" s="86"/>
      <c r="D6" s="86"/>
      <c r="E6" s="86"/>
      <c r="F6" s="86"/>
      <c r="G6" s="86"/>
      <c r="H6" s="86"/>
      <c r="I6" s="86"/>
      <c r="J6" s="86"/>
    </row>
    <row r="7" spans="1:10" x14ac:dyDescent="0.2">
      <c r="A7" s="73"/>
      <c r="B7" s="73"/>
      <c r="C7" s="73"/>
      <c r="D7" s="73"/>
      <c r="E7" s="73"/>
      <c r="F7" s="73"/>
      <c r="G7" s="73"/>
      <c r="H7" s="73"/>
      <c r="I7" s="73"/>
      <c r="J7" s="73"/>
    </row>
    <row r="8" spans="1:10" x14ac:dyDescent="0.2">
      <c r="A8" s="86" t="s">
        <v>148</v>
      </c>
      <c r="B8" s="86"/>
      <c r="C8" s="86"/>
      <c r="D8" s="86"/>
      <c r="E8" s="86"/>
      <c r="F8" s="86"/>
      <c r="G8" s="86"/>
      <c r="H8" s="86"/>
      <c r="I8" s="86"/>
      <c r="J8" s="86"/>
    </row>
    <row r="9" spans="1:10" x14ac:dyDescent="0.2">
      <c r="A9" s="86"/>
      <c r="B9" s="86"/>
      <c r="C9" s="86"/>
      <c r="D9" s="86"/>
      <c r="E9" s="86"/>
      <c r="F9" s="86"/>
      <c r="G9" s="86"/>
      <c r="H9" s="86"/>
      <c r="I9" s="86"/>
      <c r="J9" s="86"/>
    </row>
    <row r="10" spans="1:10" x14ac:dyDescent="0.2">
      <c r="A10" s="86"/>
      <c r="B10" s="86"/>
      <c r="C10" s="86"/>
      <c r="D10" s="86"/>
      <c r="E10" s="86"/>
      <c r="F10" s="86"/>
      <c r="G10" s="86"/>
      <c r="H10" s="86"/>
      <c r="I10" s="86"/>
      <c r="J10" s="86"/>
    </row>
    <row r="11" spans="1:10" x14ac:dyDescent="0.2">
      <c r="A11" s="73"/>
      <c r="B11" s="73"/>
      <c r="C11" s="73"/>
      <c r="D11" s="73"/>
      <c r="E11" s="73"/>
      <c r="F11" s="73"/>
      <c r="G11" s="73"/>
      <c r="H11" s="73"/>
      <c r="I11" s="73"/>
      <c r="J11" s="73"/>
    </row>
    <row r="12" spans="1:10" x14ac:dyDescent="0.2">
      <c r="A12" s="86" t="s">
        <v>149</v>
      </c>
      <c r="B12" s="86"/>
      <c r="C12" s="86"/>
      <c r="D12" s="86"/>
      <c r="E12" s="86"/>
      <c r="F12" s="86"/>
      <c r="G12" s="86"/>
      <c r="H12" s="86"/>
      <c r="I12" s="86"/>
      <c r="J12" s="86"/>
    </row>
    <row r="13" spans="1:10" x14ac:dyDescent="0.2">
      <c r="A13" s="86"/>
      <c r="B13" s="86"/>
      <c r="C13" s="86"/>
      <c r="D13" s="86"/>
      <c r="E13" s="86"/>
      <c r="F13" s="86"/>
      <c r="G13" s="86"/>
      <c r="H13" s="86"/>
      <c r="I13" s="86"/>
      <c r="J13" s="86"/>
    </row>
    <row r="14" spans="1:10" x14ac:dyDescent="0.2">
      <c r="A14" s="86" t="s">
        <v>150</v>
      </c>
      <c r="B14" s="86"/>
      <c r="C14" s="86"/>
      <c r="D14" s="86"/>
      <c r="E14" s="86"/>
      <c r="F14" s="86"/>
      <c r="G14" s="86"/>
      <c r="H14" s="86"/>
      <c r="I14" s="86"/>
      <c r="J14" s="86"/>
    </row>
    <row r="15" spans="1:10" x14ac:dyDescent="0.2">
      <c r="A15" s="86"/>
      <c r="B15" s="86"/>
      <c r="C15" s="86"/>
      <c r="D15" s="86"/>
      <c r="E15" s="86"/>
      <c r="F15" s="86"/>
      <c r="G15" s="86"/>
      <c r="H15" s="86"/>
      <c r="I15" s="86"/>
      <c r="J15" s="86"/>
    </row>
    <row r="16" spans="1:10" x14ac:dyDescent="0.2">
      <c r="A16" s="70"/>
      <c r="B16" s="69"/>
      <c r="C16" s="69"/>
      <c r="D16" s="69"/>
      <c r="E16" s="69"/>
      <c r="F16" s="69"/>
      <c r="G16" s="69"/>
      <c r="H16" s="69"/>
      <c r="I16" s="69"/>
      <c r="J16" s="69"/>
    </row>
    <row r="17" spans="1:10" ht="19" x14ac:dyDescent="0.2">
      <c r="A17" s="74" t="s">
        <v>151</v>
      </c>
      <c r="B17" s="69"/>
      <c r="C17" s="69"/>
      <c r="D17" s="69"/>
      <c r="E17" s="69"/>
      <c r="F17" s="69"/>
      <c r="G17" s="69"/>
      <c r="H17" s="69"/>
      <c r="I17" s="69"/>
      <c r="J17" s="69"/>
    </row>
    <row r="18" spans="1:10" s="76" customFormat="1" x14ac:dyDescent="0.2">
      <c r="A18" s="68"/>
      <c r="B18" s="75"/>
      <c r="C18" s="75"/>
      <c r="D18" s="75"/>
      <c r="E18" s="75"/>
      <c r="F18" s="75"/>
      <c r="G18" s="75"/>
      <c r="H18" s="75"/>
      <c r="I18" s="75"/>
      <c r="J18" s="75"/>
    </row>
    <row r="19" spans="1:10" x14ac:dyDescent="0.2">
      <c r="A19" s="70" t="s">
        <v>152</v>
      </c>
      <c r="B19" s="69"/>
      <c r="C19" s="69"/>
      <c r="D19" s="69"/>
      <c r="E19" s="69"/>
      <c r="F19" s="69"/>
      <c r="G19" s="69"/>
      <c r="H19" s="69"/>
      <c r="I19" s="69"/>
      <c r="J19" s="69"/>
    </row>
    <row r="20" spans="1:10" x14ac:dyDescent="0.2">
      <c r="A20" s="70"/>
      <c r="B20" s="69"/>
      <c r="C20" s="69"/>
      <c r="D20" s="69"/>
      <c r="E20" s="69"/>
      <c r="F20" s="69"/>
      <c r="G20" s="69"/>
      <c r="H20" s="69"/>
      <c r="I20" s="69"/>
      <c r="J20" s="69"/>
    </row>
    <row r="21" spans="1:10" x14ac:dyDescent="0.2">
      <c r="A21" s="71" t="s">
        <v>153</v>
      </c>
      <c r="B21" s="69"/>
      <c r="C21" s="69"/>
      <c r="D21" s="69"/>
      <c r="E21" s="69"/>
      <c r="F21" s="69"/>
      <c r="G21" s="69"/>
      <c r="H21" s="69"/>
      <c r="I21" s="69"/>
      <c r="J21" s="69"/>
    </row>
    <row r="22" spans="1:10" x14ac:dyDescent="0.2">
      <c r="A22" s="72" t="s">
        <v>154</v>
      </c>
      <c r="B22" s="69"/>
      <c r="C22" s="69"/>
      <c r="D22" s="69"/>
      <c r="E22" s="69"/>
      <c r="F22" s="69"/>
      <c r="G22" s="69"/>
      <c r="H22" s="69"/>
      <c r="I22" s="69"/>
      <c r="J22" s="69"/>
    </row>
    <row r="23" spans="1:10" x14ac:dyDescent="0.2">
      <c r="A23" s="72" t="s">
        <v>155</v>
      </c>
      <c r="B23" s="69"/>
      <c r="C23" s="69"/>
      <c r="D23" s="69"/>
      <c r="E23" s="69"/>
      <c r="F23" s="69"/>
      <c r="G23" s="69"/>
      <c r="H23" s="69"/>
      <c r="I23" s="69"/>
      <c r="J23" s="69"/>
    </row>
    <row r="24" spans="1:10" x14ac:dyDescent="0.2">
      <c r="A24" s="72" t="s">
        <v>156</v>
      </c>
      <c r="B24" s="69"/>
      <c r="C24" s="69"/>
      <c r="D24" s="69"/>
      <c r="E24" s="69"/>
      <c r="F24" s="69"/>
      <c r="G24" s="69"/>
      <c r="H24" s="69"/>
      <c r="I24" s="69"/>
      <c r="J24" s="69"/>
    </row>
    <row r="25" spans="1:10" x14ac:dyDescent="0.2">
      <c r="A25" s="72" t="s">
        <v>157</v>
      </c>
      <c r="B25" s="69"/>
      <c r="C25" s="69"/>
      <c r="D25" s="69"/>
      <c r="E25" s="69"/>
      <c r="F25" s="69"/>
      <c r="G25" s="69"/>
      <c r="H25" s="69"/>
      <c r="I25" s="69"/>
      <c r="J25" s="69"/>
    </row>
    <row r="26" spans="1:10" x14ac:dyDescent="0.2">
      <c r="A26" s="72" t="s">
        <v>158</v>
      </c>
      <c r="B26" s="69"/>
      <c r="C26" s="69"/>
      <c r="D26" s="69"/>
      <c r="E26" s="69"/>
      <c r="F26" s="69"/>
      <c r="G26" s="69"/>
      <c r="H26" s="69"/>
      <c r="I26" s="69"/>
      <c r="J26" s="69"/>
    </row>
    <row r="27" spans="1:10" x14ac:dyDescent="0.2">
      <c r="A27" s="72" t="s">
        <v>159</v>
      </c>
      <c r="B27" s="69"/>
      <c r="C27" s="69"/>
      <c r="D27" s="69"/>
      <c r="E27" s="69"/>
      <c r="F27" s="69"/>
      <c r="G27" s="69"/>
      <c r="H27" s="69"/>
      <c r="I27" s="69"/>
      <c r="J27" s="69"/>
    </row>
    <row r="28" spans="1:10" x14ac:dyDescent="0.2">
      <c r="A28" s="72"/>
      <c r="B28" s="69"/>
      <c r="C28" s="69"/>
      <c r="D28" s="69"/>
      <c r="E28" s="69"/>
      <c r="F28" s="69"/>
      <c r="G28" s="69"/>
      <c r="H28" s="69"/>
      <c r="I28" s="69"/>
      <c r="J28" s="69"/>
    </row>
    <row r="29" spans="1:10" x14ac:dyDescent="0.2">
      <c r="A29" s="88" t="s">
        <v>160</v>
      </c>
      <c r="B29" s="88"/>
      <c r="C29" s="88"/>
      <c r="D29" s="88"/>
      <c r="E29" s="88"/>
      <c r="F29" s="88"/>
      <c r="G29" s="88"/>
      <c r="H29" s="88"/>
      <c r="I29" s="88"/>
      <c r="J29" s="88"/>
    </row>
    <row r="30" spans="1:10" x14ac:dyDescent="0.2">
      <c r="A30" s="88"/>
      <c r="B30" s="88"/>
      <c r="C30" s="88"/>
      <c r="D30" s="88"/>
      <c r="E30" s="88"/>
      <c r="F30" s="88"/>
      <c r="G30" s="88"/>
      <c r="H30" s="88"/>
      <c r="I30" s="88"/>
      <c r="J30" s="88"/>
    </row>
    <row r="31" spans="1:10" x14ac:dyDescent="0.2">
      <c r="A31" s="72" t="s">
        <v>161</v>
      </c>
      <c r="B31" s="69"/>
      <c r="C31" s="69"/>
      <c r="D31" s="69"/>
      <c r="E31" s="69"/>
      <c r="F31" s="69"/>
      <c r="G31" s="69"/>
      <c r="H31" s="69"/>
      <c r="I31" s="69"/>
      <c r="J31" s="69"/>
    </row>
    <row r="32" spans="1:10" x14ac:dyDescent="0.2">
      <c r="A32" s="87" t="s">
        <v>187</v>
      </c>
      <c r="B32" s="87"/>
      <c r="C32" s="87"/>
      <c r="D32" s="87"/>
      <c r="E32" s="87"/>
      <c r="F32" s="87"/>
      <c r="G32" s="87"/>
      <c r="H32" s="87"/>
      <c r="I32" s="87"/>
      <c r="J32" s="87"/>
    </row>
    <row r="33" spans="1:10" x14ac:dyDescent="0.2">
      <c r="A33" s="87"/>
      <c r="B33" s="87"/>
      <c r="C33" s="87"/>
      <c r="D33" s="87"/>
      <c r="E33" s="87"/>
      <c r="F33" s="87"/>
      <c r="G33" s="87"/>
      <c r="H33" s="87"/>
      <c r="I33" s="87"/>
      <c r="J33" s="87"/>
    </row>
    <row r="34" spans="1:10" x14ac:dyDescent="0.2">
      <c r="A34" s="87" t="s">
        <v>162</v>
      </c>
      <c r="B34" s="87"/>
      <c r="C34" s="87"/>
      <c r="D34" s="87"/>
      <c r="E34" s="87"/>
      <c r="F34" s="87"/>
      <c r="G34" s="87"/>
      <c r="H34" s="87"/>
      <c r="I34" s="87"/>
      <c r="J34" s="87"/>
    </row>
    <row r="35" spans="1:10" x14ac:dyDescent="0.2">
      <c r="A35" s="87"/>
      <c r="B35" s="87"/>
      <c r="C35" s="87"/>
      <c r="D35" s="87"/>
      <c r="E35" s="87"/>
      <c r="F35" s="87"/>
      <c r="G35" s="87"/>
      <c r="H35" s="87"/>
      <c r="I35" s="87"/>
      <c r="J35" s="87"/>
    </row>
    <row r="36" spans="1:10" x14ac:dyDescent="0.2">
      <c r="A36" s="72" t="s">
        <v>163</v>
      </c>
      <c r="B36" s="69"/>
      <c r="C36" s="69"/>
      <c r="D36" s="69"/>
      <c r="E36" s="69"/>
      <c r="F36" s="69"/>
      <c r="G36" s="69"/>
      <c r="H36" s="69"/>
      <c r="I36" s="69"/>
      <c r="J36" s="69"/>
    </row>
    <row r="37" spans="1:10" x14ac:dyDescent="0.2">
      <c r="A37" s="88" t="s">
        <v>164</v>
      </c>
      <c r="B37" s="88"/>
      <c r="C37" s="88"/>
      <c r="D37" s="88"/>
      <c r="E37" s="88"/>
      <c r="F37" s="88"/>
      <c r="G37" s="88"/>
      <c r="H37" s="88"/>
      <c r="I37" s="88"/>
      <c r="J37" s="88"/>
    </row>
    <row r="38" spans="1:10" x14ac:dyDescent="0.2">
      <c r="A38" s="88"/>
      <c r="B38" s="88"/>
      <c r="C38" s="88"/>
      <c r="D38" s="88"/>
      <c r="E38" s="88"/>
      <c r="F38" s="88"/>
      <c r="G38" s="88"/>
      <c r="H38" s="88"/>
      <c r="I38" s="88"/>
      <c r="J38" s="88"/>
    </row>
    <row r="39" spans="1:10" x14ac:dyDescent="0.2">
      <c r="A39" s="71"/>
      <c r="B39" s="69"/>
      <c r="C39" s="69"/>
      <c r="D39" s="69"/>
      <c r="E39" s="69"/>
      <c r="F39" s="69"/>
      <c r="G39" s="69"/>
      <c r="H39" s="69"/>
      <c r="I39" s="69"/>
      <c r="J39" s="69"/>
    </row>
    <row r="40" spans="1:10" x14ac:dyDescent="0.2">
      <c r="A40" s="86" t="s">
        <v>165</v>
      </c>
      <c r="B40" s="86"/>
      <c r="C40" s="86"/>
      <c r="D40" s="86"/>
      <c r="E40" s="86"/>
      <c r="F40" s="86"/>
      <c r="G40" s="86"/>
      <c r="H40" s="86"/>
      <c r="I40" s="86"/>
      <c r="J40" s="86"/>
    </row>
    <row r="41" spans="1:10" x14ac:dyDescent="0.2">
      <c r="A41" s="86"/>
      <c r="B41" s="86"/>
      <c r="C41" s="86"/>
      <c r="D41" s="86"/>
      <c r="E41" s="86"/>
      <c r="F41" s="86"/>
      <c r="G41" s="86"/>
      <c r="H41" s="86"/>
      <c r="I41" s="86"/>
      <c r="J41" s="86"/>
    </row>
    <row r="42" spans="1:10" x14ac:dyDescent="0.2">
      <c r="A42" s="86" t="s">
        <v>166</v>
      </c>
      <c r="B42" s="86"/>
      <c r="C42" s="86"/>
      <c r="D42" s="86"/>
      <c r="E42" s="86"/>
      <c r="F42" s="86"/>
      <c r="G42" s="86"/>
      <c r="H42" s="86"/>
      <c r="I42" s="86"/>
      <c r="J42" s="86"/>
    </row>
    <row r="43" spans="1:10" x14ac:dyDescent="0.2">
      <c r="A43" s="86"/>
      <c r="B43" s="86"/>
      <c r="C43" s="86"/>
      <c r="D43" s="86"/>
      <c r="E43" s="86"/>
      <c r="F43" s="86"/>
      <c r="G43" s="86"/>
      <c r="H43" s="86"/>
      <c r="I43" s="86"/>
      <c r="J43" s="86"/>
    </row>
    <row r="44" spans="1:10" x14ac:dyDescent="0.2">
      <c r="A44" s="70"/>
      <c r="B44" s="69"/>
      <c r="C44" s="69"/>
      <c r="D44" s="69"/>
      <c r="E44" s="69"/>
      <c r="F44" s="69"/>
      <c r="G44" s="69"/>
      <c r="H44" s="69"/>
      <c r="I44" s="69"/>
      <c r="J44" s="69"/>
    </row>
    <row r="45" spans="1:10" ht="19" x14ac:dyDescent="0.2">
      <c r="A45" s="74" t="s">
        <v>167</v>
      </c>
      <c r="B45" s="69"/>
      <c r="C45" s="69"/>
      <c r="D45" s="69"/>
      <c r="E45" s="69"/>
      <c r="F45" s="69"/>
      <c r="G45" s="69"/>
      <c r="H45" s="69"/>
      <c r="I45" s="69"/>
      <c r="J45" s="69"/>
    </row>
    <row r="46" spans="1:10" x14ac:dyDescent="0.2">
      <c r="A46" s="68"/>
      <c r="B46" s="69"/>
      <c r="C46" s="69"/>
      <c r="D46" s="69"/>
      <c r="E46" s="69"/>
      <c r="F46" s="69"/>
      <c r="G46" s="69"/>
      <c r="H46" s="69"/>
      <c r="I46" s="69"/>
      <c r="J46" s="69"/>
    </row>
    <row r="47" spans="1:10" x14ac:dyDescent="0.2">
      <c r="A47" s="86" t="s">
        <v>168</v>
      </c>
      <c r="B47" s="86"/>
      <c r="C47" s="86"/>
      <c r="D47" s="86"/>
      <c r="E47" s="86"/>
      <c r="F47" s="86"/>
      <c r="G47" s="86"/>
      <c r="H47" s="86"/>
      <c r="I47" s="86"/>
      <c r="J47" s="86"/>
    </row>
    <row r="48" spans="1:10" x14ac:dyDescent="0.2">
      <c r="A48" s="86"/>
      <c r="B48" s="86"/>
      <c r="C48" s="86"/>
      <c r="D48" s="86"/>
      <c r="E48" s="86"/>
      <c r="F48" s="86"/>
      <c r="G48" s="86"/>
      <c r="H48" s="86"/>
      <c r="I48" s="86"/>
      <c r="J48" s="86"/>
    </row>
    <row r="49" spans="1:10" x14ac:dyDescent="0.2">
      <c r="A49" s="73"/>
      <c r="B49" s="73"/>
      <c r="C49" s="73"/>
      <c r="D49" s="73"/>
      <c r="E49" s="73"/>
      <c r="F49" s="73"/>
      <c r="G49" s="73"/>
      <c r="H49" s="73"/>
      <c r="I49" s="73"/>
      <c r="J49" s="73"/>
    </row>
    <row r="50" spans="1:10" ht="15" customHeight="1" x14ac:dyDescent="0.2">
      <c r="A50" s="86" t="s">
        <v>191</v>
      </c>
      <c r="B50" s="86"/>
      <c r="C50" s="86"/>
      <c r="D50" s="86"/>
      <c r="E50" s="86"/>
      <c r="F50" s="86"/>
      <c r="G50" s="86"/>
      <c r="H50" s="86"/>
      <c r="I50" s="86"/>
      <c r="J50" s="86"/>
    </row>
    <row r="51" spans="1:10" x14ac:dyDescent="0.2">
      <c r="A51" s="86"/>
      <c r="B51" s="86"/>
      <c r="C51" s="86"/>
      <c r="D51" s="86"/>
      <c r="E51" s="86"/>
      <c r="F51" s="86"/>
      <c r="G51" s="86"/>
      <c r="H51" s="86"/>
      <c r="I51" s="86"/>
      <c r="J51" s="86"/>
    </row>
    <row r="52" spans="1:10" x14ac:dyDescent="0.2">
      <c r="A52" s="86"/>
      <c r="B52" s="86"/>
      <c r="C52" s="86"/>
      <c r="D52" s="86"/>
      <c r="E52" s="86"/>
      <c r="F52" s="86"/>
      <c r="G52" s="86"/>
      <c r="H52" s="86"/>
      <c r="I52" s="86"/>
      <c r="J52" s="86"/>
    </row>
    <row r="53" spans="1:10" x14ac:dyDescent="0.2">
      <c r="A53" s="86"/>
      <c r="B53" s="86"/>
      <c r="C53" s="86"/>
      <c r="D53" s="86"/>
      <c r="E53" s="86"/>
      <c r="F53" s="86"/>
      <c r="G53" s="86"/>
      <c r="H53" s="86"/>
      <c r="I53" s="86"/>
      <c r="J53" s="86"/>
    </row>
    <row r="54" spans="1:10" x14ac:dyDescent="0.2">
      <c r="A54" s="86"/>
      <c r="B54" s="86"/>
      <c r="C54" s="86"/>
      <c r="D54" s="86"/>
      <c r="E54" s="86"/>
      <c r="F54" s="86"/>
      <c r="G54" s="86"/>
      <c r="H54" s="86"/>
      <c r="I54" s="86"/>
      <c r="J54" s="86"/>
    </row>
    <row r="55" spans="1:10" x14ac:dyDescent="0.2">
      <c r="A55" s="86"/>
      <c r="B55" s="86"/>
      <c r="C55" s="86"/>
      <c r="D55" s="86"/>
      <c r="E55" s="86"/>
      <c r="F55" s="86"/>
      <c r="G55" s="86"/>
      <c r="H55" s="86"/>
      <c r="I55" s="86"/>
      <c r="J55" s="86"/>
    </row>
    <row r="56" spans="1:10" x14ac:dyDescent="0.2">
      <c r="A56" s="86"/>
      <c r="B56" s="86"/>
      <c r="C56" s="86"/>
      <c r="D56" s="86"/>
      <c r="E56" s="86"/>
      <c r="F56" s="86"/>
      <c r="G56" s="86"/>
      <c r="H56" s="86"/>
      <c r="I56" s="86"/>
      <c r="J56" s="86"/>
    </row>
    <row r="57" spans="1:10" x14ac:dyDescent="0.2">
      <c r="A57" s="83"/>
      <c r="B57" s="83"/>
      <c r="C57" s="83"/>
      <c r="D57" s="83"/>
      <c r="E57" s="83"/>
      <c r="F57" s="83"/>
      <c r="G57" s="83"/>
      <c r="H57" s="83"/>
      <c r="I57" s="83"/>
      <c r="J57" s="83"/>
    </row>
    <row r="58" spans="1:10" x14ac:dyDescent="0.2">
      <c r="A58" s="86" t="s">
        <v>169</v>
      </c>
      <c r="B58" s="86"/>
      <c r="C58" s="86"/>
      <c r="D58" s="86"/>
      <c r="E58" s="86"/>
      <c r="F58" s="86"/>
      <c r="G58" s="86"/>
      <c r="H58" s="86"/>
      <c r="I58" s="86"/>
      <c r="J58" s="86"/>
    </row>
    <row r="59" spans="1:10" x14ac:dyDescent="0.2">
      <c r="A59" s="86"/>
      <c r="B59" s="86"/>
      <c r="C59" s="86"/>
      <c r="D59" s="86"/>
      <c r="E59" s="86"/>
      <c r="F59" s="86"/>
      <c r="G59" s="86"/>
      <c r="H59" s="86"/>
      <c r="I59" s="86"/>
      <c r="J59" s="86"/>
    </row>
    <row r="60" spans="1:10" x14ac:dyDescent="0.2">
      <c r="A60" s="73"/>
      <c r="B60" s="73"/>
      <c r="C60" s="73"/>
      <c r="D60" s="73"/>
      <c r="E60" s="73"/>
      <c r="F60" s="73"/>
      <c r="G60" s="73"/>
      <c r="H60" s="73"/>
      <c r="I60" s="73"/>
      <c r="J60" s="73"/>
    </row>
    <row r="61" spans="1:10" x14ac:dyDescent="0.2">
      <c r="A61" s="70" t="s">
        <v>170</v>
      </c>
      <c r="B61" s="69"/>
      <c r="C61" s="69"/>
      <c r="D61" s="69"/>
      <c r="E61" s="69"/>
      <c r="F61" s="69"/>
      <c r="G61" s="69"/>
      <c r="H61" s="69"/>
      <c r="I61" s="69"/>
      <c r="J61" s="69"/>
    </row>
    <row r="62" spans="1:10" x14ac:dyDescent="0.2">
      <c r="A62" s="71" t="s">
        <v>171</v>
      </c>
      <c r="B62" s="69"/>
      <c r="C62" s="69"/>
      <c r="D62" s="69"/>
      <c r="E62" s="69"/>
      <c r="F62" s="69"/>
      <c r="G62" s="69"/>
      <c r="H62" s="69"/>
      <c r="I62" s="69"/>
      <c r="J62" s="69"/>
    </row>
    <row r="63" spans="1:10" x14ac:dyDescent="0.2">
      <c r="A63" s="71" t="s">
        <v>172</v>
      </c>
      <c r="B63" s="69"/>
      <c r="C63" s="69"/>
      <c r="D63" s="69"/>
      <c r="E63" s="69"/>
      <c r="F63" s="69"/>
      <c r="G63" s="69"/>
      <c r="H63" s="69"/>
      <c r="I63" s="69"/>
      <c r="J63" s="69"/>
    </row>
    <row r="64" spans="1:10" x14ac:dyDescent="0.2">
      <c r="A64" s="71" t="s">
        <v>173</v>
      </c>
      <c r="B64" s="69"/>
      <c r="C64" s="69"/>
      <c r="D64" s="69"/>
      <c r="E64" s="69"/>
      <c r="F64" s="69"/>
      <c r="G64" s="69"/>
      <c r="H64" s="69"/>
      <c r="I64" s="69"/>
      <c r="J64" s="69"/>
    </row>
    <row r="65" spans="1:10" x14ac:dyDescent="0.2">
      <c r="A65" s="70"/>
      <c r="B65" s="69"/>
      <c r="C65" s="69"/>
      <c r="D65" s="69"/>
      <c r="E65" s="69"/>
      <c r="F65" s="69"/>
      <c r="G65" s="69"/>
      <c r="H65" s="69"/>
      <c r="I65" s="69"/>
      <c r="J65" s="69"/>
    </row>
    <row r="66" spans="1:10" ht="19" x14ac:dyDescent="0.2">
      <c r="A66" s="74" t="s">
        <v>174</v>
      </c>
      <c r="B66" s="69"/>
      <c r="C66" s="69"/>
      <c r="D66" s="69"/>
      <c r="E66" s="69"/>
      <c r="F66" s="69"/>
      <c r="G66" s="69"/>
      <c r="H66" s="69"/>
      <c r="I66" s="69"/>
      <c r="J66" s="69"/>
    </row>
    <row r="67" spans="1:10" x14ac:dyDescent="0.2">
      <c r="A67" s="68"/>
      <c r="B67" s="69"/>
      <c r="C67" s="69"/>
      <c r="D67" s="69"/>
      <c r="E67" s="69"/>
      <c r="F67" s="69"/>
      <c r="G67" s="69"/>
      <c r="H67" s="69"/>
      <c r="I67" s="69"/>
      <c r="J67" s="69"/>
    </row>
    <row r="68" spans="1:10" x14ac:dyDescent="0.2">
      <c r="A68" s="86" t="s">
        <v>175</v>
      </c>
      <c r="B68" s="86"/>
      <c r="C68" s="86"/>
      <c r="D68" s="86"/>
      <c r="E68" s="86"/>
      <c r="F68" s="86"/>
      <c r="G68" s="86"/>
      <c r="H68" s="86"/>
      <c r="I68" s="86"/>
      <c r="J68" s="86"/>
    </row>
    <row r="69" spans="1:10" x14ac:dyDescent="0.2">
      <c r="A69" s="86"/>
      <c r="B69" s="86"/>
      <c r="C69" s="86"/>
      <c r="D69" s="86"/>
      <c r="E69" s="86"/>
      <c r="F69" s="86"/>
      <c r="G69" s="86"/>
      <c r="H69" s="86"/>
      <c r="I69" s="86"/>
      <c r="J69" s="86"/>
    </row>
    <row r="70" spans="1:10" x14ac:dyDescent="0.2">
      <c r="A70" s="86"/>
      <c r="B70" s="86"/>
      <c r="C70" s="86"/>
      <c r="D70" s="86"/>
      <c r="E70" s="86"/>
      <c r="F70" s="86"/>
      <c r="G70" s="86"/>
      <c r="H70" s="86"/>
      <c r="I70" s="86"/>
      <c r="J70" s="86"/>
    </row>
    <row r="71" spans="1:10" x14ac:dyDescent="0.2">
      <c r="A71" s="73"/>
      <c r="B71" s="73"/>
      <c r="C71" s="73"/>
      <c r="D71" s="73"/>
      <c r="E71" s="73"/>
      <c r="F71" s="73"/>
      <c r="G71" s="73"/>
      <c r="H71" s="73"/>
      <c r="I71" s="73"/>
      <c r="J71" s="73"/>
    </row>
    <row r="72" spans="1:10" x14ac:dyDescent="0.2">
      <c r="A72" s="86" t="s">
        <v>176</v>
      </c>
      <c r="B72" s="86"/>
      <c r="C72" s="86"/>
      <c r="D72" s="86"/>
      <c r="E72" s="86"/>
      <c r="F72" s="86"/>
      <c r="G72" s="86"/>
      <c r="H72" s="86"/>
      <c r="I72" s="86"/>
      <c r="J72" s="86"/>
    </row>
    <row r="73" spans="1:10" x14ac:dyDescent="0.2">
      <c r="A73" s="86"/>
      <c r="B73" s="86"/>
      <c r="C73" s="86"/>
      <c r="D73" s="86"/>
      <c r="E73" s="86"/>
      <c r="F73" s="86"/>
      <c r="G73" s="86"/>
      <c r="H73" s="86"/>
      <c r="I73" s="86"/>
      <c r="J73" s="86"/>
    </row>
    <row r="74" spans="1:10" x14ac:dyDescent="0.2">
      <c r="A74" s="73"/>
      <c r="B74" s="73"/>
      <c r="C74" s="73"/>
      <c r="D74" s="73"/>
      <c r="E74" s="73"/>
      <c r="F74" s="73"/>
      <c r="G74" s="73"/>
      <c r="H74" s="73"/>
      <c r="I74" s="73"/>
      <c r="J74" s="73"/>
    </row>
    <row r="75" spans="1:10" x14ac:dyDescent="0.2">
      <c r="A75" s="71" t="s">
        <v>177</v>
      </c>
      <c r="B75" s="69"/>
      <c r="C75" s="69"/>
      <c r="D75" s="69"/>
      <c r="E75" s="69"/>
      <c r="F75" s="69"/>
      <c r="G75" s="69"/>
      <c r="H75" s="69"/>
      <c r="I75" s="69"/>
      <c r="J75" s="69"/>
    </row>
    <row r="76" spans="1:10" x14ac:dyDescent="0.2">
      <c r="A76" s="72" t="s">
        <v>178</v>
      </c>
      <c r="B76" s="69"/>
      <c r="C76" s="69"/>
      <c r="D76" s="69"/>
      <c r="E76" s="69"/>
      <c r="F76" s="69"/>
      <c r="G76" s="69"/>
      <c r="H76" s="69"/>
      <c r="I76" s="69"/>
      <c r="J76" s="69"/>
    </row>
    <row r="77" spans="1:10" x14ac:dyDescent="0.2">
      <c r="A77" s="72" t="s">
        <v>179</v>
      </c>
      <c r="B77" s="69"/>
      <c r="C77" s="69"/>
      <c r="D77" s="69"/>
      <c r="E77" s="69"/>
      <c r="F77" s="69"/>
      <c r="G77" s="69"/>
      <c r="H77" s="69"/>
      <c r="I77" s="69"/>
      <c r="J77" s="69"/>
    </row>
    <row r="78" spans="1:10" x14ac:dyDescent="0.2">
      <c r="A78" s="72" t="s">
        <v>180</v>
      </c>
      <c r="B78" s="69"/>
      <c r="C78" s="69"/>
      <c r="D78" s="69"/>
      <c r="E78" s="69"/>
      <c r="F78" s="69"/>
      <c r="G78" s="69"/>
      <c r="H78" s="69"/>
      <c r="I78" s="69"/>
      <c r="J78" s="69"/>
    </row>
    <row r="79" spans="1:10" x14ac:dyDescent="0.2">
      <c r="A79" s="87" t="s">
        <v>181</v>
      </c>
      <c r="B79" s="87"/>
      <c r="C79" s="87"/>
      <c r="D79" s="87"/>
      <c r="E79" s="87"/>
      <c r="F79" s="87"/>
      <c r="G79" s="87"/>
      <c r="H79" s="87"/>
      <c r="I79" s="87"/>
      <c r="J79" s="87"/>
    </row>
    <row r="80" spans="1:10" x14ac:dyDescent="0.2">
      <c r="A80" s="87"/>
      <c r="B80" s="87"/>
      <c r="C80" s="87"/>
      <c r="D80" s="87"/>
      <c r="E80" s="87"/>
      <c r="F80" s="87"/>
      <c r="G80" s="87"/>
      <c r="H80" s="87"/>
      <c r="I80" s="87"/>
      <c r="J80" s="87"/>
    </row>
    <row r="81" spans="1:10" x14ac:dyDescent="0.2">
      <c r="A81" s="72"/>
      <c r="B81" s="69"/>
      <c r="C81" s="69"/>
      <c r="D81" s="69"/>
      <c r="E81" s="69"/>
      <c r="F81" s="69"/>
      <c r="G81" s="69"/>
      <c r="H81" s="69"/>
      <c r="I81" s="69"/>
      <c r="J81" s="69"/>
    </row>
    <row r="82" spans="1:10" x14ac:dyDescent="0.2">
      <c r="A82" s="71" t="s">
        <v>182</v>
      </c>
      <c r="B82" s="69"/>
      <c r="C82" s="69"/>
      <c r="D82" s="69"/>
      <c r="E82" s="69"/>
      <c r="F82" s="69"/>
      <c r="G82" s="69"/>
      <c r="H82" s="69"/>
      <c r="I82" s="69"/>
      <c r="J82" s="69"/>
    </row>
    <row r="83" spans="1:10" x14ac:dyDescent="0.2">
      <c r="A83" s="87" t="s">
        <v>183</v>
      </c>
      <c r="B83" s="87"/>
      <c r="C83" s="87"/>
      <c r="D83" s="87"/>
      <c r="E83" s="87"/>
      <c r="F83" s="87"/>
      <c r="G83" s="87"/>
      <c r="H83" s="87"/>
      <c r="I83" s="87"/>
      <c r="J83" s="87"/>
    </row>
    <row r="84" spans="1:10" x14ac:dyDescent="0.2">
      <c r="A84" s="87"/>
      <c r="B84" s="87"/>
      <c r="C84" s="87"/>
      <c r="D84" s="87"/>
      <c r="E84" s="87"/>
      <c r="F84" s="87"/>
      <c r="G84" s="87"/>
      <c r="H84" s="87"/>
      <c r="I84" s="87"/>
      <c r="J84" s="87"/>
    </row>
    <row r="85" spans="1:10" x14ac:dyDescent="0.2">
      <c r="A85" s="72" t="s">
        <v>184</v>
      </c>
      <c r="B85" s="69"/>
      <c r="C85" s="69"/>
      <c r="D85" s="69"/>
      <c r="E85" s="69"/>
      <c r="F85" s="69"/>
      <c r="G85" s="69"/>
      <c r="H85" s="69"/>
      <c r="I85" s="69"/>
      <c r="J85" s="69"/>
    </row>
    <row r="86" spans="1:10" x14ac:dyDescent="0.2">
      <c r="A86" s="84" t="s">
        <v>189</v>
      </c>
      <c r="B86" s="69"/>
      <c r="C86" s="69"/>
      <c r="D86" s="69"/>
      <c r="E86" s="69"/>
      <c r="F86" s="69"/>
      <c r="G86" s="69"/>
      <c r="H86" s="69"/>
      <c r="I86" s="69"/>
      <c r="J86" s="69"/>
    </row>
    <row r="87" spans="1:10" ht="14.25" customHeight="1" x14ac:dyDescent="0.2">
      <c r="A87" s="69" t="s">
        <v>190</v>
      </c>
      <c r="B87" s="69"/>
      <c r="C87" s="69"/>
      <c r="D87" s="69"/>
      <c r="E87" s="69"/>
      <c r="F87" s="69"/>
      <c r="G87" s="69"/>
      <c r="H87" s="69"/>
      <c r="I87" s="69"/>
      <c r="J87" s="69"/>
    </row>
    <row r="88" spans="1:10" ht="14.25" customHeight="1" x14ac:dyDescent="0.2">
      <c r="A88" s="85" t="s">
        <v>188</v>
      </c>
      <c r="B88" s="69"/>
      <c r="C88" s="69"/>
      <c r="D88" s="69"/>
      <c r="E88" s="69"/>
      <c r="F88" s="69"/>
      <c r="G88" s="69"/>
      <c r="H88" s="69"/>
      <c r="I88" s="69"/>
      <c r="J88" s="69"/>
    </row>
    <row r="89" spans="1:10" x14ac:dyDescent="0.2">
      <c r="A89" s="87" t="s">
        <v>185</v>
      </c>
      <c r="B89" s="87"/>
      <c r="C89" s="87"/>
      <c r="D89" s="87"/>
      <c r="E89" s="87"/>
      <c r="F89" s="87"/>
      <c r="G89" s="87"/>
      <c r="H89" s="87"/>
      <c r="I89" s="87"/>
      <c r="J89" s="87"/>
    </row>
    <row r="90" spans="1:10" x14ac:dyDescent="0.2">
      <c r="A90" s="87"/>
      <c r="B90" s="87"/>
      <c r="C90" s="87"/>
      <c r="D90" s="87"/>
      <c r="E90" s="87"/>
      <c r="F90" s="87"/>
      <c r="G90" s="87"/>
      <c r="H90" s="87"/>
      <c r="I90" s="87"/>
      <c r="J90" s="87"/>
    </row>
    <row r="91" spans="1:10" x14ac:dyDescent="0.2">
      <c r="A91" s="87" t="s">
        <v>186</v>
      </c>
      <c r="B91" s="87"/>
      <c r="C91" s="87"/>
      <c r="D91" s="87"/>
      <c r="E91" s="87"/>
      <c r="F91" s="87"/>
      <c r="G91" s="87"/>
      <c r="H91" s="87"/>
      <c r="I91" s="87"/>
      <c r="J91" s="87"/>
    </row>
    <row r="92" spans="1:10" x14ac:dyDescent="0.2">
      <c r="A92" s="87"/>
      <c r="B92" s="87"/>
      <c r="C92" s="87"/>
      <c r="D92" s="87"/>
      <c r="E92" s="87"/>
      <c r="F92" s="87"/>
      <c r="G92" s="87"/>
      <c r="H92" s="87"/>
      <c r="I92" s="87"/>
      <c r="J92" s="87"/>
    </row>
    <row r="93" spans="1:10" x14ac:dyDescent="0.2">
      <c r="A93" s="69"/>
      <c r="B93" s="69"/>
      <c r="C93" s="69"/>
      <c r="D93" s="69"/>
      <c r="E93" s="69"/>
      <c r="F93" s="69"/>
      <c r="G93" s="69"/>
      <c r="H93" s="69"/>
      <c r="I93" s="69"/>
      <c r="J93" s="69"/>
    </row>
  </sheetData>
  <mergeCells count="20">
    <mergeCell ref="A37:J38"/>
    <mergeCell ref="A1:J1"/>
    <mergeCell ref="A5:J6"/>
    <mergeCell ref="A8:J10"/>
    <mergeCell ref="A29:J30"/>
    <mergeCell ref="A34:J35"/>
    <mergeCell ref="A32:J33"/>
    <mergeCell ref="A12:J13"/>
    <mergeCell ref="A14:J15"/>
    <mergeCell ref="A40:J41"/>
    <mergeCell ref="A42:J43"/>
    <mergeCell ref="A50:J56"/>
    <mergeCell ref="A91:J92"/>
    <mergeCell ref="A83:J84"/>
    <mergeCell ref="A89:J90"/>
    <mergeCell ref="A47:J48"/>
    <mergeCell ref="A58:J59"/>
    <mergeCell ref="A68:J70"/>
    <mergeCell ref="A72:J73"/>
    <mergeCell ref="A79:J8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H123"/>
  <sheetViews>
    <sheetView showGridLines="0" zoomScaleNormal="100" workbookViewId="0">
      <selection sqref="A1:G1"/>
    </sheetView>
  </sheetViews>
  <sheetFormatPr baseColWidth="10" defaultColWidth="8.83203125" defaultRowHeight="15" x14ac:dyDescent="0.2"/>
  <cols>
    <col min="1" max="1" width="56" bestFit="1" customWidth="1"/>
    <col min="2" max="2" width="17.33203125" customWidth="1"/>
    <col min="3" max="7" width="11" customWidth="1"/>
    <col min="9" max="10" width="9.83203125" customWidth="1"/>
    <col min="26" max="26" width="4" customWidth="1"/>
    <col min="27" max="27" width="46.6640625" bestFit="1" customWidth="1"/>
    <col min="28" max="28" width="12.6640625" customWidth="1"/>
    <col min="29" max="32" width="12.6640625" bestFit="1" customWidth="1"/>
    <col min="33" max="33" width="13.83203125" bestFit="1" customWidth="1"/>
    <col min="34" max="34" width="12.6640625" customWidth="1"/>
    <col min="41" max="41" width="29.83203125" bestFit="1" customWidth="1"/>
    <col min="79" max="80" width="23.1640625" customWidth="1"/>
    <col min="81" max="85" width="10.33203125" bestFit="1" customWidth="1"/>
  </cols>
  <sheetData>
    <row r="1" spans="1:86" ht="19" x14ac:dyDescent="0.25">
      <c r="A1" s="112" t="s">
        <v>0</v>
      </c>
      <c r="B1" s="112"/>
      <c r="C1" s="112"/>
      <c r="D1" s="112"/>
      <c r="E1" s="112"/>
      <c r="F1" s="112"/>
      <c r="G1" s="112"/>
      <c r="AA1" s="110" t="s">
        <v>32</v>
      </c>
      <c r="AB1" s="110"/>
      <c r="AC1" s="110"/>
      <c r="AD1" s="110"/>
      <c r="AE1" s="110"/>
      <c r="AF1" s="110"/>
      <c r="AG1" s="110"/>
      <c r="AH1" s="110"/>
      <c r="CA1" s="90" t="s">
        <v>123</v>
      </c>
      <c r="CB1" s="90"/>
      <c r="CC1" s="90"/>
      <c r="CD1" s="90"/>
      <c r="CE1" s="90"/>
      <c r="CF1" s="90"/>
      <c r="CG1" s="90"/>
      <c r="CH1" s="90"/>
    </row>
    <row r="2" spans="1:86" x14ac:dyDescent="0.2">
      <c r="CB2" s="92" t="s">
        <v>137</v>
      </c>
      <c r="CC2" s="92"/>
      <c r="CD2" s="92"/>
      <c r="CE2" s="92"/>
      <c r="CF2" s="92"/>
      <c r="CG2" s="92"/>
      <c r="CH2" s="92"/>
    </row>
    <row r="3" spans="1:86" x14ac:dyDescent="0.2">
      <c r="B3" s="114" t="s">
        <v>28</v>
      </c>
      <c r="C3" s="115"/>
      <c r="D3" s="115"/>
      <c r="E3" s="115"/>
      <c r="F3" s="115"/>
      <c r="G3" s="116"/>
      <c r="AA3" s="111" t="s">
        <v>33</v>
      </c>
      <c r="AB3" s="111"/>
      <c r="AC3" s="111"/>
      <c r="AD3" s="111"/>
      <c r="AE3" s="111"/>
      <c r="AF3" s="111"/>
      <c r="AG3" s="111"/>
      <c r="AH3" s="111"/>
      <c r="AO3" s="95" t="s">
        <v>76</v>
      </c>
      <c r="AP3" s="95"/>
      <c r="AQ3" s="95"/>
      <c r="AR3" s="95"/>
      <c r="AS3" s="95"/>
      <c r="AT3" s="95"/>
      <c r="AU3" s="95"/>
      <c r="AV3" s="95"/>
      <c r="CB3" s="60">
        <v>0</v>
      </c>
      <c r="CC3" s="60">
        <v>1</v>
      </c>
      <c r="CD3" s="60">
        <v>2</v>
      </c>
      <c r="CE3" s="60">
        <v>3</v>
      </c>
      <c r="CF3" s="60">
        <v>4</v>
      </c>
      <c r="CG3" s="60">
        <v>5</v>
      </c>
      <c r="CH3" s="61">
        <v>6</v>
      </c>
    </row>
    <row r="4" spans="1:86" x14ac:dyDescent="0.2">
      <c r="AO4" s="26"/>
      <c r="AP4" s="26"/>
      <c r="AQ4" s="26"/>
      <c r="AR4" s="26"/>
      <c r="AS4" s="26"/>
      <c r="AT4" s="26"/>
      <c r="AU4" s="26"/>
      <c r="AV4" s="26"/>
      <c r="CA4" s="27" t="s">
        <v>40</v>
      </c>
      <c r="CB4" s="62">
        <f ca="1">AB73</f>
        <v>0.25567406302269258</v>
      </c>
      <c r="CC4" s="62">
        <f t="shared" ref="CC4:CG4" ca="1" si="0">AC73</f>
        <v>0.26411662475527548</v>
      </c>
      <c r="CD4" s="62">
        <f t="shared" ca="1" si="0"/>
        <v>0.26846383426261777</v>
      </c>
      <c r="CE4" s="62">
        <f t="shared" ca="1" si="0"/>
        <v>0.27864550768244201</v>
      </c>
      <c r="CF4" s="62">
        <f t="shared" ca="1" si="0"/>
        <v>0.28807043554346101</v>
      </c>
      <c r="CG4" s="62">
        <f t="shared" ca="1" si="0"/>
        <v>0.29838122619650376</v>
      </c>
      <c r="CH4" s="63"/>
    </row>
    <row r="5" spans="1:86" x14ac:dyDescent="0.2">
      <c r="B5" s="1">
        <v>0</v>
      </c>
      <c r="C5" s="1">
        <v>1</v>
      </c>
      <c r="D5" s="1">
        <v>2</v>
      </c>
      <c r="E5" s="1">
        <v>3</v>
      </c>
      <c r="F5" s="1">
        <v>4</v>
      </c>
      <c r="G5" s="1">
        <v>5</v>
      </c>
      <c r="AA5" t="s">
        <v>34</v>
      </c>
      <c r="AB5" s="9">
        <v>0</v>
      </c>
      <c r="AC5" s="9">
        <v>1</v>
      </c>
      <c r="AD5" s="9">
        <v>2</v>
      </c>
      <c r="AE5" s="9">
        <v>3</v>
      </c>
      <c r="AF5" s="9">
        <v>4</v>
      </c>
      <c r="AG5" s="9">
        <v>5</v>
      </c>
      <c r="AH5" s="10">
        <v>6</v>
      </c>
      <c r="AO5" s="26" t="s">
        <v>34</v>
      </c>
      <c r="AP5" s="9">
        <v>0</v>
      </c>
      <c r="AQ5" s="9">
        <v>1</v>
      </c>
      <c r="AR5" s="9">
        <v>2</v>
      </c>
      <c r="AS5" s="9">
        <v>3</v>
      </c>
      <c r="AT5" s="9">
        <v>4</v>
      </c>
      <c r="AU5" s="9">
        <v>5</v>
      </c>
      <c r="AV5" s="10">
        <v>6</v>
      </c>
      <c r="CA5" s="27" t="s">
        <v>124</v>
      </c>
      <c r="CB5" s="62">
        <f ca="1">1/(1+CB4)</f>
        <v>0.7963850090148179</v>
      </c>
      <c r="CC5" s="62">
        <f t="shared" ref="CC5:CG5" ca="1" si="1">1/(1+CC4)</f>
        <v>0.79106625165505851</v>
      </c>
      <c r="CD5" s="62">
        <f t="shared" ca="1" si="1"/>
        <v>0.78835515289351477</v>
      </c>
      <c r="CE5" s="62">
        <f t="shared" ca="1" si="1"/>
        <v>0.78207759225816254</v>
      </c>
      <c r="CF5" s="62">
        <f t="shared" ca="1" si="1"/>
        <v>0.77635505978994168</v>
      </c>
      <c r="CG5" s="62">
        <f t="shared" ca="1" si="1"/>
        <v>0.77018981776978868</v>
      </c>
      <c r="CH5" s="27"/>
    </row>
    <row r="6" spans="1:86" x14ac:dyDescent="0.2">
      <c r="AA6" s="11"/>
      <c r="AB6" s="11"/>
      <c r="AC6" s="11"/>
      <c r="AD6" s="11"/>
      <c r="AE6" s="11"/>
      <c r="AF6" s="11"/>
      <c r="AG6" s="11"/>
      <c r="AO6" s="26"/>
      <c r="AP6" s="26"/>
      <c r="AQ6" s="26"/>
      <c r="AR6" s="26"/>
      <c r="AS6" s="26"/>
      <c r="AT6" s="26"/>
      <c r="AU6" s="26"/>
      <c r="AV6" s="26"/>
      <c r="CA6" s="27" t="s">
        <v>125</v>
      </c>
      <c r="CB6" s="62">
        <f ca="1">1-CB5</f>
        <v>0.2036149909851821</v>
      </c>
      <c r="CC6" s="62">
        <f t="shared" ref="CC6:CG6" ca="1" si="2">1-CC5</f>
        <v>0.20893374834494149</v>
      </c>
      <c r="CD6" s="62">
        <f t="shared" ca="1" si="2"/>
        <v>0.21164484710648523</v>
      </c>
      <c r="CE6" s="62">
        <f t="shared" ca="1" si="2"/>
        <v>0.21792240774183746</v>
      </c>
      <c r="CF6" s="62">
        <f t="shared" ca="1" si="2"/>
        <v>0.22364494021005832</v>
      </c>
      <c r="CG6" s="62">
        <f t="shared" ca="1" si="2"/>
        <v>0.22981018223021132</v>
      </c>
      <c r="CH6" s="27"/>
    </row>
    <row r="7" spans="1:86" x14ac:dyDescent="0.2">
      <c r="A7" s="96" t="s">
        <v>20</v>
      </c>
      <c r="B7" s="96"/>
      <c r="C7" s="96"/>
      <c r="D7" s="96"/>
      <c r="E7" s="96"/>
      <c r="F7" s="96"/>
      <c r="G7" s="96"/>
      <c r="AA7" t="s">
        <v>82</v>
      </c>
      <c r="AB7" s="6">
        <f>IF(AB$5=0,B10,AA7*(1+B50))</f>
        <v>5180645</v>
      </c>
      <c r="AC7" s="6">
        <f t="shared" ref="AC7:AG7" si="3">IF(AC$5=0,C10,AB7*(1+C50))</f>
        <v>5698709.5</v>
      </c>
      <c r="AD7" s="6">
        <f t="shared" si="3"/>
        <v>6211593.3550000004</v>
      </c>
      <c r="AE7" s="6">
        <f t="shared" si="3"/>
        <v>6770636.7569500012</v>
      </c>
      <c r="AF7" s="6">
        <f t="shared" si="3"/>
        <v>7312287.6975060022</v>
      </c>
      <c r="AG7" s="6">
        <f t="shared" si="3"/>
        <v>7897270.7133064829</v>
      </c>
      <c r="AO7" s="26" t="s">
        <v>73</v>
      </c>
      <c r="AP7" s="54">
        <f ca="1">IF($B$104=$CB$26,AB89,AB118)</f>
        <v>11.328784816979292</v>
      </c>
      <c r="AQ7" s="54">
        <f t="shared" ref="AQ7:AU7" ca="1" si="4">IF($B$104=$CB$26,AC89,AC118)</f>
        <v>12.065632575245321</v>
      </c>
      <c r="AR7" s="54">
        <f t="shared" ca="1" si="4"/>
        <v>12.321042816303915</v>
      </c>
      <c r="AS7" s="54">
        <f t="shared" ca="1" si="4"/>
        <v>12.910418444263467</v>
      </c>
      <c r="AT7" s="54">
        <f t="shared" ca="1" si="4"/>
        <v>13.466743175438936</v>
      </c>
      <c r="AU7" s="54">
        <f t="shared" ca="1" si="4"/>
        <v>14.019879156954566</v>
      </c>
      <c r="AV7" s="26"/>
    </row>
    <row r="8" spans="1:86" x14ac:dyDescent="0.2">
      <c r="AA8" s="11" t="s">
        <v>83</v>
      </c>
      <c r="AB8" s="12">
        <f>IF(AB$5=0,B11,AA27*AB50)</f>
        <v>2125</v>
      </c>
      <c r="AC8" s="12">
        <f t="shared" ref="AC8:AG8" si="5">IF(AC$5=0,C11,AB27*AC50)</f>
        <v>2597.2156</v>
      </c>
      <c r="AD8" s="12">
        <f t="shared" si="5"/>
        <v>2792.3676550000005</v>
      </c>
      <c r="AE8" s="12">
        <f t="shared" si="5"/>
        <v>3043.6807439500003</v>
      </c>
      <c r="AF8" s="12">
        <f t="shared" si="5"/>
        <v>3317.6120109055009</v>
      </c>
      <c r="AG8" s="12">
        <f t="shared" si="5"/>
        <v>3583.0209717779408</v>
      </c>
      <c r="AO8" s="26" t="s">
        <v>74</v>
      </c>
      <c r="AP8" s="54">
        <f>IF($B$104=$CB$26,AB43/AB91, AB43/AB120)</f>
        <v>4.6041603510171516</v>
      </c>
      <c r="AQ8" s="54">
        <f t="shared" ref="AQ8:AU8" ca="1" si="6">IF($B$104=$CB$26,AC43/AC91, AC43/AC120)</f>
        <v>5.0061846341304506</v>
      </c>
      <c r="AR8" s="54">
        <f t="shared" ca="1" si="6"/>
        <v>5.1423227519877672</v>
      </c>
      <c r="AS8" s="54">
        <f t="shared" ca="1" si="6"/>
        <v>5.5748646152654393</v>
      </c>
      <c r="AT8" s="54">
        <f t="shared" ca="1" si="6"/>
        <v>6.0109682014006536</v>
      </c>
      <c r="AU8" s="54">
        <f t="shared" ca="1" si="6"/>
        <v>6.4822264046296496</v>
      </c>
      <c r="AV8" s="26"/>
      <c r="CB8" s="30"/>
      <c r="CC8" s="30"/>
      <c r="CD8" s="30"/>
      <c r="CE8" s="30"/>
      <c r="CF8" s="30"/>
      <c r="CG8" s="30"/>
    </row>
    <row r="9" spans="1:86" x14ac:dyDescent="0.2">
      <c r="A9" s="96" t="s">
        <v>21</v>
      </c>
      <c r="B9" s="96"/>
      <c r="C9" s="96"/>
      <c r="D9" s="96"/>
      <c r="E9" s="96"/>
      <c r="F9" s="96"/>
      <c r="G9" s="96"/>
      <c r="AA9" t="s">
        <v>16</v>
      </c>
      <c r="AB9" s="6">
        <f>SUM(AB7:AB8)</f>
        <v>5182770</v>
      </c>
      <c r="AC9" s="6">
        <f t="shared" ref="AC9:AG9" si="7">SUM(AC7:AC8)</f>
        <v>5701306.7155999998</v>
      </c>
      <c r="AD9" s="6">
        <f t="shared" si="7"/>
        <v>6214385.7226550002</v>
      </c>
      <c r="AE9" s="6">
        <f t="shared" si="7"/>
        <v>6773680.4376939517</v>
      </c>
      <c r="AF9" s="6">
        <f t="shared" si="7"/>
        <v>7315605.3095169077</v>
      </c>
      <c r="AG9" s="6">
        <f t="shared" si="7"/>
        <v>7900853.7342782607</v>
      </c>
      <c r="AO9" s="26"/>
      <c r="AP9" s="26"/>
      <c r="AQ9" s="26"/>
      <c r="AR9" s="26"/>
      <c r="AS9" s="26"/>
      <c r="AT9" s="26"/>
      <c r="AU9" s="26"/>
      <c r="AV9" s="26"/>
      <c r="CB9" s="93" t="s">
        <v>138</v>
      </c>
      <c r="CC9" s="93"/>
      <c r="CD9" s="93"/>
      <c r="CE9" s="93"/>
      <c r="CF9" s="93"/>
      <c r="CG9" s="93"/>
      <c r="CH9" s="93"/>
    </row>
    <row r="10" spans="1:86" x14ac:dyDescent="0.2">
      <c r="A10" t="s">
        <v>82</v>
      </c>
      <c r="B10" s="7">
        <v>5180645</v>
      </c>
      <c r="C10" s="6"/>
      <c r="AA10" t="s">
        <v>84</v>
      </c>
      <c r="AB10" s="6">
        <f>IF(AB$5=0,B13,AB7*$B$54)</f>
        <v>4195321</v>
      </c>
      <c r="AC10" s="6">
        <f t="shared" ref="AC10:AG10" si="8">IF(AC$5=0,C13,AC7*$B$54)</f>
        <v>4558967.6000000006</v>
      </c>
      <c r="AD10" s="6">
        <f t="shared" si="8"/>
        <v>4969274.6840000004</v>
      </c>
      <c r="AE10" s="6">
        <f t="shared" si="8"/>
        <v>5416509.4055600017</v>
      </c>
      <c r="AF10" s="6">
        <f t="shared" si="8"/>
        <v>5849830.1580048017</v>
      </c>
      <c r="AG10" s="6">
        <f t="shared" si="8"/>
        <v>6317816.5706451871</v>
      </c>
      <c r="AO10" s="26" t="s">
        <v>122</v>
      </c>
      <c r="AP10" s="54">
        <f>IF(B104=CB26,AB19/AB91,AB19/AB120)</f>
        <v>0.61083167132030314</v>
      </c>
      <c r="AQ10" s="54">
        <f t="shared" ref="AQ10:AU10" ca="1" si="9">IF(C104=CC26,AC19/AC91,AC19/AC120)</f>
        <v>0.74867081971624438</v>
      </c>
      <c r="AR10" s="54">
        <f t="shared" ca="1" si="9"/>
        <v>0.85025850776780543</v>
      </c>
      <c r="AS10" s="54">
        <f t="shared" ca="1" si="9"/>
        <v>0.97647630288625609</v>
      </c>
      <c r="AT10" s="54">
        <f t="shared" ca="1" si="9"/>
        <v>1.0577581075606086</v>
      </c>
      <c r="AU10" s="54">
        <f t="shared" ca="1" si="9"/>
        <v>1.1482686064717376</v>
      </c>
      <c r="AV10" s="26"/>
      <c r="CB10" s="60">
        <v>0</v>
      </c>
      <c r="CC10" s="60">
        <v>1</v>
      </c>
      <c r="CD10" s="60">
        <v>2</v>
      </c>
      <c r="CE10" s="60">
        <v>3</v>
      </c>
      <c r="CF10" s="60">
        <v>4</v>
      </c>
      <c r="CG10" s="60">
        <v>5</v>
      </c>
      <c r="CH10" s="61">
        <v>6</v>
      </c>
    </row>
    <row r="11" spans="1:86" x14ac:dyDescent="0.2">
      <c r="A11" t="s">
        <v>83</v>
      </c>
      <c r="B11" s="7">
        <v>2125</v>
      </c>
      <c r="C11" s="6"/>
      <c r="AA11" t="s">
        <v>97</v>
      </c>
      <c r="AB11" s="6">
        <f>IF(AB$5=0,B14,AA33*$B$63)</f>
        <v>332876</v>
      </c>
      <c r="AC11" s="6">
        <f t="shared" ref="AC11:AG11" si="10">IF(AC$5=0,C14,AB33*$B$63)</f>
        <v>372090</v>
      </c>
      <c r="AD11" s="6">
        <f t="shared" si="10"/>
        <v>410307.08399999997</v>
      </c>
      <c r="AE11" s="6">
        <f t="shared" si="10"/>
        <v>409965.16143000009</v>
      </c>
      <c r="AF11" s="6">
        <f t="shared" si="10"/>
        <v>446862.02595870011</v>
      </c>
      <c r="AG11" s="6">
        <f t="shared" si="10"/>
        <v>482610.98803539615</v>
      </c>
      <c r="AO11" s="26" t="s">
        <v>120</v>
      </c>
      <c r="AP11" s="26"/>
      <c r="AQ11" s="54">
        <f ca="1">IF($B$104=$CB$26,AC85,AC114)</f>
        <v>0.32805801453002648</v>
      </c>
      <c r="AR11" s="54">
        <f t="shared" ref="AR11:AV11" ca="1" si="11">IF($B$104=$CB$26,AD85,AD114)</f>
        <v>0.88070761192059888</v>
      </c>
      <c r="AS11" s="54">
        <f t="shared" ca="1" si="11"/>
        <v>0.5754966198267415</v>
      </c>
      <c r="AT11" s="54">
        <f t="shared" ca="1" si="11"/>
        <v>0.66807846065768173</v>
      </c>
      <c r="AU11" s="54">
        <f t="shared" ca="1" si="11"/>
        <v>0.72802780823533042</v>
      </c>
      <c r="AV11" s="54">
        <f t="shared" ca="1" si="11"/>
        <v>0.75815713952991193</v>
      </c>
      <c r="CA11" s="27" t="s">
        <v>40</v>
      </c>
      <c r="CB11" s="62">
        <f t="shared" ref="CB11:CG11" ca="1" si="12">AB102</f>
        <v>0.23978897950534953</v>
      </c>
      <c r="CC11" s="62">
        <f t="shared" ca="1" si="12"/>
        <v>0.24473069801088534</v>
      </c>
      <c r="CD11" s="62">
        <f t="shared" ca="1" si="12"/>
        <v>0.2554023783037182</v>
      </c>
      <c r="CE11" s="62">
        <f t="shared" ca="1" si="12"/>
        <v>0.26424518302094469</v>
      </c>
      <c r="CF11" s="62">
        <f t="shared" ca="1" si="12"/>
        <v>0.27314605059986508</v>
      </c>
      <c r="CG11" s="62">
        <f t="shared" ca="1" si="12"/>
        <v>0.28293911969427832</v>
      </c>
      <c r="CH11" s="63"/>
    </row>
    <row r="12" spans="1:86" ht="15" customHeight="1" x14ac:dyDescent="0.2">
      <c r="A12" t="s">
        <v>16</v>
      </c>
      <c r="B12" s="6">
        <f>SUM(B10:B11)</f>
        <v>5182770</v>
      </c>
      <c r="C12" s="6"/>
      <c r="AA12" t="s">
        <v>85</v>
      </c>
      <c r="AB12" s="6">
        <f>IF(AB$5=0,B15,IF(AB58&gt;0,AB58*$B$93,0))</f>
        <v>2012</v>
      </c>
      <c r="AC12" s="6">
        <f t="shared" ref="AC12:AG12" si="13">IF(AC$5=0,C15,IF(AC58&gt;0,AC58*$B$93,0))</f>
        <v>3425.3968623596056</v>
      </c>
      <c r="AD12" s="6">
        <f t="shared" si="13"/>
        <v>887.95785134900359</v>
      </c>
      <c r="AE12" s="6">
        <f t="shared" si="13"/>
        <v>3363.6019242337766</v>
      </c>
      <c r="AF12" s="6">
        <f t="shared" si="13"/>
        <v>3258.9565310353923</v>
      </c>
      <c r="AG12" s="6">
        <f t="shared" si="13"/>
        <v>3519.6730535182287</v>
      </c>
      <c r="AO12" s="26"/>
      <c r="AP12" s="26"/>
      <c r="AQ12" s="26"/>
      <c r="AR12" s="26"/>
      <c r="AS12" s="26"/>
      <c r="AT12" s="26"/>
      <c r="AU12" s="26"/>
      <c r="AV12" s="26"/>
      <c r="CA12" s="27" t="s">
        <v>124</v>
      </c>
      <c r="CB12" s="62">
        <f ca="1">1/(1+CB11)</f>
        <v>0.80658887643845611</v>
      </c>
      <c r="CC12" s="62">
        <f t="shared" ref="CC12:CG12" ca="1" si="14">1/(1+CC11)</f>
        <v>0.80338662941150885</v>
      </c>
      <c r="CD12" s="62">
        <f t="shared" ca="1" si="14"/>
        <v>0.79655735665499194</v>
      </c>
      <c r="CE12" s="62">
        <f t="shared" ca="1" si="14"/>
        <v>0.79098580989683953</v>
      </c>
      <c r="CF12" s="62">
        <f t="shared" ca="1" si="14"/>
        <v>0.78545583951568831</v>
      </c>
      <c r="CG12" s="62">
        <f t="shared" ca="1" si="14"/>
        <v>0.77946021338744265</v>
      </c>
      <c r="CH12" s="27"/>
    </row>
    <row r="13" spans="1:86" ht="15" customHeight="1" x14ac:dyDescent="0.2">
      <c r="A13" t="s">
        <v>84</v>
      </c>
      <c r="B13" s="7">
        <v>4195321</v>
      </c>
      <c r="C13" s="6"/>
      <c r="AA13" s="41" t="s">
        <v>86</v>
      </c>
      <c r="AB13" s="42">
        <f>IF(AB$5=0,B16,IF(AB64&gt;0,AB64*$B$94,0))</f>
        <v>15755</v>
      </c>
      <c r="AC13" s="42">
        <f t="shared" ref="AC13:AG13" ca="1" si="15">IF(AC$5=0,C16,IF(AC64&gt;0,AC64*$B$94,0))</f>
        <v>6722.8399486932531</v>
      </c>
      <c r="AD13" s="42">
        <f t="shared" ca="1" si="15"/>
        <v>0</v>
      </c>
      <c r="AE13" s="42">
        <f t="shared" ca="1" si="15"/>
        <v>2773.352965149395</v>
      </c>
      <c r="AF13" s="42">
        <f t="shared" ca="1" si="15"/>
        <v>881.04698943452911</v>
      </c>
      <c r="AG13" s="42">
        <f t="shared" ca="1" si="15"/>
        <v>828.99841579981148</v>
      </c>
      <c r="AO13" s="26" t="s">
        <v>49</v>
      </c>
      <c r="AP13" s="55">
        <f ca="1">IF($B$104=$CB$26,AB74,AB103)</f>
        <v>1.2670181297183569</v>
      </c>
      <c r="AQ13" s="55">
        <f t="shared" ref="AQ13:AU13" ca="1" si="16">IF($B$104=$CB$26,AC74,AC103)</f>
        <v>1.2670181297183569</v>
      </c>
      <c r="AR13" s="55">
        <f t="shared" ca="1" si="16"/>
        <v>1.2670181297183569</v>
      </c>
      <c r="AS13" s="55">
        <f t="shared" ca="1" si="16"/>
        <v>1.2670181297183569</v>
      </c>
      <c r="AT13" s="55">
        <f t="shared" ca="1" si="16"/>
        <v>1.2670181297183569</v>
      </c>
      <c r="AU13" s="55">
        <f t="shared" ca="1" si="16"/>
        <v>1.2670181297183569</v>
      </c>
      <c r="AV13" s="26"/>
      <c r="CA13" s="27" t="s">
        <v>125</v>
      </c>
      <c r="CB13" s="62">
        <f ca="1">1-CB12</f>
        <v>0.19341112356154389</v>
      </c>
      <c r="CC13" s="62">
        <f t="shared" ref="CC13:CG13" ca="1" si="17">1-CC12</f>
        <v>0.19661337058849115</v>
      </c>
      <c r="CD13" s="62">
        <f t="shared" ca="1" si="17"/>
        <v>0.20344264334500806</v>
      </c>
      <c r="CE13" s="62">
        <f t="shared" ca="1" si="17"/>
        <v>0.20901419010316047</v>
      </c>
      <c r="CF13" s="62">
        <f t="shared" ca="1" si="17"/>
        <v>0.21454416048431169</v>
      </c>
      <c r="CG13" s="62">
        <f t="shared" ca="1" si="17"/>
        <v>0.22053978661255735</v>
      </c>
      <c r="CH13" s="27"/>
    </row>
    <row r="14" spans="1:86" ht="15" customHeight="1" x14ac:dyDescent="0.2">
      <c r="A14" t="s">
        <v>97</v>
      </c>
      <c r="B14" s="7">
        <v>332876</v>
      </c>
      <c r="C14" s="6"/>
      <c r="AA14" s="39" t="s">
        <v>98</v>
      </c>
      <c r="AB14" s="40">
        <f>IF(AB$5=0,B17,IF(AB64&lt;0,-AB64*$B$95,0))</f>
        <v>0</v>
      </c>
      <c r="AC14" s="40">
        <f t="shared" ref="AC14:AG14" ca="1" si="18">IF(AC$5=0,C17,IF(AC64&lt;0,-AC64*$B$95,0))</f>
        <v>0</v>
      </c>
      <c r="AD14" s="40">
        <f t="shared" ca="1" si="18"/>
        <v>3396.7119282898075</v>
      </c>
      <c r="AE14" s="40">
        <f t="shared" ca="1" si="18"/>
        <v>0</v>
      </c>
      <c r="AF14" s="40">
        <f t="shared" ca="1" si="18"/>
        <v>0</v>
      </c>
      <c r="AG14" s="40">
        <f t="shared" ca="1" si="18"/>
        <v>0</v>
      </c>
      <c r="AO14" s="26" t="s">
        <v>40</v>
      </c>
      <c r="AP14" s="55">
        <f ca="1">IF($B$104=$CB$26,AB73,AB102)</f>
        <v>0.23978897950534953</v>
      </c>
      <c r="AQ14" s="55">
        <f t="shared" ref="AQ14:AU14" ca="1" si="19">IF($B$104=$CB$26,AC73,AC102)</f>
        <v>0.24473069801088534</v>
      </c>
      <c r="AR14" s="55">
        <f t="shared" ca="1" si="19"/>
        <v>0.2554023783037182</v>
      </c>
      <c r="AS14" s="55">
        <f t="shared" ca="1" si="19"/>
        <v>0.26424518302094469</v>
      </c>
      <c r="AT14" s="55">
        <f t="shared" ca="1" si="19"/>
        <v>0.27314605059986508</v>
      </c>
      <c r="AU14" s="55">
        <f t="shared" ca="1" si="19"/>
        <v>0.28293911969427832</v>
      </c>
      <c r="AV14" s="26"/>
    </row>
    <row r="15" spans="1:86" ht="15" customHeight="1" x14ac:dyDescent="0.2">
      <c r="A15" t="s">
        <v>85</v>
      </c>
      <c r="B15" s="7">
        <v>2012</v>
      </c>
      <c r="C15" s="6"/>
      <c r="I15" s="102" t="s">
        <v>31</v>
      </c>
      <c r="J15" s="102"/>
      <c r="AA15" t="s">
        <v>17</v>
      </c>
      <c r="AB15" s="6">
        <f>AB9-SUM(AB10:AB14)</f>
        <v>636806</v>
      </c>
      <c r="AC15" s="6">
        <f t="shared" ref="AC15:AG15" ca="1" si="20">AC9-SUM(AC10:AC14)</f>
        <v>760100.8787889462</v>
      </c>
      <c r="AD15" s="6">
        <f t="shared" ca="1" si="20"/>
        <v>830519.28487536125</v>
      </c>
      <c r="AE15" s="6">
        <f t="shared" ca="1" si="20"/>
        <v>941068.91581456643</v>
      </c>
      <c r="AF15" s="6">
        <f t="shared" ca="1" si="20"/>
        <v>1014773.1220329357</v>
      </c>
      <c r="AG15" s="6">
        <f t="shared" ca="1" si="20"/>
        <v>1096077.5041283602</v>
      </c>
      <c r="AO15" s="26" t="s">
        <v>110</v>
      </c>
      <c r="AP15" s="55">
        <f>IF($B$104=$CB$26,AB77,AB106)</f>
        <v>1.4</v>
      </c>
      <c r="AQ15" s="55">
        <f t="shared" ref="AQ15:AU15" ca="1" si="21">IF($B$104=$CB$26,AC77,AC106)</f>
        <v>1.4026913783066379</v>
      </c>
      <c r="AR15" s="55">
        <f t="shared" ca="1" si="21"/>
        <v>1.409055271204894</v>
      </c>
      <c r="AS15" s="55">
        <f t="shared" ca="1" si="21"/>
        <v>1.4139730276999605</v>
      </c>
      <c r="AT15" s="55">
        <f t="shared" ca="1" si="21"/>
        <v>1.418923074743597</v>
      </c>
      <c r="AU15" s="55">
        <f t="shared" ca="1" si="21"/>
        <v>1.4243693025735371</v>
      </c>
      <c r="AV15" s="26"/>
    </row>
    <row r="16" spans="1:86" x14ac:dyDescent="0.2">
      <c r="A16" t="s">
        <v>86</v>
      </c>
      <c r="B16" s="7">
        <v>15755</v>
      </c>
      <c r="C16" s="6"/>
      <c r="I16" s="103">
        <f ca="1">IF(B104=CB26,AB89,AB118)</f>
        <v>11.328784816979292</v>
      </c>
      <c r="J16" s="104"/>
      <c r="AA16" s="78" t="s">
        <v>87</v>
      </c>
      <c r="AB16" s="40">
        <f>IF(AB$5=0,B19,(AB37*AB51)+(AB56*AB52)+(AB59*AB53))</f>
        <v>120212</v>
      </c>
      <c r="AC16" s="40">
        <f>IF(AC$5=0,C19,(AB37*AC51)+(AB56*AC52)+(AB59*AC53))</f>
        <v>125072.232</v>
      </c>
      <c r="AD16" s="40">
        <f t="shared" ref="AD16:AG16" si="22">IF(AD$5=0,D19,(AC37*AD51)+(AC56*AD52)+(AC59*AD53))</f>
        <v>129849.79354400755</v>
      </c>
      <c r="AE16" s="40">
        <f t="shared" si="22"/>
        <v>131779.33671453645</v>
      </c>
      <c r="AF16" s="40">
        <f t="shared" si="22"/>
        <v>136597.69701884472</v>
      </c>
      <c r="AG16" s="40">
        <f t="shared" si="22"/>
        <v>141266.15278035228</v>
      </c>
      <c r="AO16" s="26"/>
      <c r="AP16" s="26"/>
      <c r="AQ16" s="26"/>
      <c r="AR16" s="26"/>
      <c r="AS16" s="26"/>
      <c r="AT16" s="26"/>
      <c r="AU16" s="26"/>
      <c r="AV16" s="26"/>
      <c r="CB16" s="30"/>
      <c r="CC16" s="30"/>
      <c r="CD16" s="30"/>
      <c r="CE16" s="30"/>
      <c r="CF16" s="30"/>
      <c r="CG16" s="30"/>
    </row>
    <row r="17" spans="1:86" x14ac:dyDescent="0.2">
      <c r="A17" t="s">
        <v>98</v>
      </c>
      <c r="B17" s="7">
        <v>0</v>
      </c>
      <c r="C17" s="6"/>
      <c r="I17" s="105"/>
      <c r="J17" s="106"/>
      <c r="AA17" t="s">
        <v>18</v>
      </c>
      <c r="AB17" s="6">
        <f>AB15-AB16</f>
        <v>516594</v>
      </c>
      <c r="AC17" s="6">
        <f t="shared" ref="AC17:AG17" ca="1" si="23">AC15-AC16</f>
        <v>635028.64678894624</v>
      </c>
      <c r="AD17" s="6">
        <f t="shared" ca="1" si="23"/>
        <v>700669.49133135367</v>
      </c>
      <c r="AE17" s="6">
        <f t="shared" ca="1" si="23"/>
        <v>809289.57910003001</v>
      </c>
      <c r="AF17" s="6">
        <f t="shared" ca="1" si="23"/>
        <v>878175.42501409096</v>
      </c>
      <c r="AG17" s="6">
        <f t="shared" ca="1" si="23"/>
        <v>954811.35134800791</v>
      </c>
      <c r="AO17" s="26" t="s">
        <v>58</v>
      </c>
      <c r="AP17" s="56">
        <f ca="1">AP7/AP10</f>
        <v>18.546492182522723</v>
      </c>
      <c r="AQ17" s="56">
        <f ca="1">AQ7/AQ10</f>
        <v>16.116071653251218</v>
      </c>
      <c r="AR17" s="56">
        <f t="shared" ref="AR17:AU17" ca="1" si="24">AR7/AR10</f>
        <v>14.490937407554448</v>
      </c>
      <c r="AS17" s="56">
        <f t="shared" ca="1" si="24"/>
        <v>13.221435488094302</v>
      </c>
      <c r="AT17" s="56">
        <f t="shared" ca="1" si="24"/>
        <v>12.731401517210591</v>
      </c>
      <c r="AU17" s="56">
        <f t="shared" ca="1" si="24"/>
        <v>12.209581519461004</v>
      </c>
      <c r="AV17" s="26"/>
      <c r="CA17" s="79" t="s">
        <v>130</v>
      </c>
      <c r="CB17" s="80"/>
      <c r="CC17" s="80">
        <f ca="1">AC15*(1-$B$55)</f>
        <v>456060.52727336768</v>
      </c>
      <c r="CD17" s="80">
        <f ca="1">AD15*(1-$B$55)</f>
        <v>498311.57092521671</v>
      </c>
      <c r="CE17" s="80">
        <f ca="1">AE15*(1-$B$55)</f>
        <v>564641.34948873986</v>
      </c>
      <c r="CF17" s="80">
        <f ca="1">AF15*(1-$B$55)</f>
        <v>608863.87321976142</v>
      </c>
      <c r="CG17" s="80">
        <f ca="1">AG15*(1-$B$55)</f>
        <v>657646.50247701607</v>
      </c>
      <c r="CH17" s="79"/>
    </row>
    <row r="18" spans="1:86" x14ac:dyDescent="0.2">
      <c r="A18" t="s">
        <v>17</v>
      </c>
      <c r="B18" s="6">
        <f>B12-SUM(B13:B17)</f>
        <v>636806</v>
      </c>
      <c r="C18" s="6"/>
      <c r="I18" s="107"/>
      <c r="J18" s="108"/>
      <c r="AA18" s="11" t="s">
        <v>88</v>
      </c>
      <c r="AB18" s="12">
        <f>IF(AB$5=0,B21,AB17*$B$55)</f>
        <v>210323</v>
      </c>
      <c r="AC18" s="12">
        <f t="shared" ref="AC18:AG18" ca="1" si="25">IF(AC$5=0,C21,AC17*$B$55)</f>
        <v>254011.45871557851</v>
      </c>
      <c r="AD18" s="12">
        <f t="shared" ca="1" si="25"/>
        <v>280267.79653254146</v>
      </c>
      <c r="AE18" s="12">
        <f t="shared" ca="1" si="25"/>
        <v>323715.83164001204</v>
      </c>
      <c r="AF18" s="12">
        <f t="shared" ca="1" si="25"/>
        <v>351270.17000563641</v>
      </c>
      <c r="AG18" s="12">
        <f t="shared" ca="1" si="25"/>
        <v>381924.54053920321</v>
      </c>
      <c r="AO18" s="26" t="s">
        <v>59</v>
      </c>
      <c r="AP18" s="56">
        <f ca="1">AP7/AP8</f>
        <v>2.4605539236869838</v>
      </c>
      <c r="AQ18" s="56">
        <f t="shared" ref="AQ18:AU18" ca="1" si="26">AQ7/AQ8</f>
        <v>2.4101453416212366</v>
      </c>
      <c r="AR18" s="56">
        <f t="shared" ca="1" si="26"/>
        <v>2.396007292918596</v>
      </c>
      <c r="AS18" s="56">
        <f t="shared" ca="1" si="26"/>
        <v>2.3158263626548634</v>
      </c>
      <c r="AT18" s="56">
        <f t="shared" ca="1" si="26"/>
        <v>2.2403617394450639</v>
      </c>
      <c r="AU18" s="56">
        <f t="shared" ca="1" si="26"/>
        <v>2.1628184950376732</v>
      </c>
      <c r="AV18" s="26"/>
      <c r="CA18" s="81" t="s">
        <v>131</v>
      </c>
      <c r="CB18" s="80"/>
      <c r="CC18" s="80">
        <f>AC11</f>
        <v>372090</v>
      </c>
      <c r="CD18" s="80">
        <f>AD11</f>
        <v>410307.08399999997</v>
      </c>
      <c r="CE18" s="80">
        <f>AE11</f>
        <v>409965.16143000009</v>
      </c>
      <c r="CF18" s="80">
        <f>AF11</f>
        <v>446862.02595870011</v>
      </c>
      <c r="CG18" s="80">
        <f>AG11</f>
        <v>482610.98803539615</v>
      </c>
      <c r="CH18" s="79"/>
    </row>
    <row r="19" spans="1:86" x14ac:dyDescent="0.2">
      <c r="A19" t="s">
        <v>87</v>
      </c>
      <c r="B19" s="7">
        <v>120212</v>
      </c>
      <c r="C19" s="6"/>
      <c r="I19" s="117" t="str">
        <f>_xlfn.CONCAT("Based on ",$B$104)</f>
        <v>Based on FCFE</v>
      </c>
      <c r="J19" s="117"/>
      <c r="AA19" t="s">
        <v>19</v>
      </c>
      <c r="AB19" s="6">
        <f>AB17-AB18</f>
        <v>306271</v>
      </c>
      <c r="AC19" s="6">
        <f t="shared" ref="AC19:AG19" ca="1" si="27">AC17-AC18</f>
        <v>381017.1880733677</v>
      </c>
      <c r="AD19" s="6">
        <f t="shared" ca="1" si="27"/>
        <v>420401.69479881221</v>
      </c>
      <c r="AE19" s="6">
        <f t="shared" ca="1" si="27"/>
        <v>485573.74746001797</v>
      </c>
      <c r="AF19" s="6">
        <f t="shared" ca="1" si="27"/>
        <v>526905.25500845455</v>
      </c>
      <c r="AG19" s="6">
        <f t="shared" ca="1" si="27"/>
        <v>572886.8108088047</v>
      </c>
      <c r="AJ19" s="16"/>
      <c r="AO19" s="26"/>
      <c r="AP19" s="26"/>
      <c r="AQ19" s="26"/>
      <c r="AR19" s="26"/>
      <c r="AS19" s="26"/>
      <c r="AT19" s="26"/>
      <c r="AU19" s="26"/>
      <c r="AV19" s="26"/>
      <c r="CA19" s="81" t="s">
        <v>132</v>
      </c>
      <c r="CB19" s="80"/>
      <c r="CC19" s="80">
        <f>AC31-AB31</f>
        <v>690565.69999999925</v>
      </c>
      <c r="CD19" s="80">
        <f>AD31-AC31</f>
        <v>407457.72925000172</v>
      </c>
      <c r="CE19" s="80">
        <f>AE31-AD31</f>
        <v>717439.03250250034</v>
      </c>
      <c r="CF19" s="80">
        <f>AF31-AE31</f>
        <v>744770.04326449987</v>
      </c>
      <c r="CG19" s="80">
        <f>AG31-AF31</f>
        <v>804351.64672566205</v>
      </c>
      <c r="CH19" s="79"/>
    </row>
    <row r="20" spans="1:86" x14ac:dyDescent="0.2">
      <c r="A20" t="s">
        <v>18</v>
      </c>
      <c r="B20" s="6">
        <f>B18-B19</f>
        <v>516594</v>
      </c>
      <c r="C20" s="6"/>
      <c r="I20" s="118"/>
      <c r="J20" s="118"/>
      <c r="AA20" s="11" t="s">
        <v>89</v>
      </c>
      <c r="AB20" s="12">
        <f>IF(AB$5=0,B23,AB19*$B$56)</f>
        <v>185376</v>
      </c>
      <c r="AC20" s="12">
        <f t="shared" ref="AC20:AG20" ca="1" si="28">IF(AC$5=0,C23,AC19*$B$56)</f>
        <v>228610.31284402061</v>
      </c>
      <c r="AD20" s="12">
        <f t="shared" ca="1" si="28"/>
        <v>252241.01687928732</v>
      </c>
      <c r="AE20" s="12">
        <f t="shared" ca="1" si="28"/>
        <v>291344.24847601075</v>
      </c>
      <c r="AF20" s="12">
        <f t="shared" ca="1" si="28"/>
        <v>316143.15300507273</v>
      </c>
      <c r="AG20" s="12">
        <f t="shared" ca="1" si="28"/>
        <v>343732.08648528281</v>
      </c>
      <c r="AJ20" s="44"/>
      <c r="AO20" s="26" t="s">
        <v>111</v>
      </c>
      <c r="AP20" s="57">
        <f>IF($B$104=$CB$26,AB78,AB107)</f>
        <v>9.3999999999999986E-2</v>
      </c>
      <c r="AQ20" s="57">
        <f t="shared" ref="AQ20:AU20" ca="1" si="29">IF($B$104=$CB$26,AC78,AC107)</f>
        <v>9.4161482698398261E-2</v>
      </c>
      <c r="AR20" s="57">
        <f t="shared" ca="1" si="29"/>
        <v>9.4543316272293634E-2</v>
      </c>
      <c r="AS20" s="57">
        <f t="shared" ca="1" si="29"/>
        <v>9.4838381661997623E-2</v>
      </c>
      <c r="AT20" s="57">
        <f t="shared" ca="1" si="29"/>
        <v>9.5135384484615809E-2</v>
      </c>
      <c r="AU20" s="57">
        <f t="shared" ca="1" si="29"/>
        <v>9.5462158154412224E-2</v>
      </c>
      <c r="AV20" s="26"/>
      <c r="CA20" s="81" t="s">
        <v>133</v>
      </c>
      <c r="CB20" s="79"/>
      <c r="CC20" s="80">
        <f>(SUM(AC28:AC29)-SUM(AB28:AB29))-(AC36-AB36)</f>
        <v>37106.570000000065</v>
      </c>
      <c r="CD20" s="80">
        <f>(SUM(AD28:AD29)-SUM(AC28:AC29))-(AD36-AC36)</f>
        <v>30773.031300000031</v>
      </c>
      <c r="CE20" s="80">
        <f>(SUM(AE28:AE29)-SUM(AD28:AD29))-(AE36-AD36)</f>
        <v>33542.60411700001</v>
      </c>
      <c r="CF20" s="80">
        <f>(SUM(AF28:AF29)-SUM(AE28:AE29))-(AF36-AE36)</f>
        <v>32499.056433360092</v>
      </c>
      <c r="CG20" s="80">
        <f>(SUM(AG28:AG29)-SUM(AF28:AF29))-(AG36-AF36)</f>
        <v>35098.98094802897</v>
      </c>
      <c r="CH20" s="79"/>
    </row>
    <row r="21" spans="1:86" x14ac:dyDescent="0.2">
      <c r="A21" t="s">
        <v>88</v>
      </c>
      <c r="B21" s="7">
        <v>210323</v>
      </c>
      <c r="C21" s="6"/>
      <c r="AA21" s="11" t="s">
        <v>99</v>
      </c>
      <c r="AB21" s="12">
        <f>AB19-AB20</f>
        <v>120895</v>
      </c>
      <c r="AC21" s="12">
        <f t="shared" ref="AC21:AG21" ca="1" si="30">AC19-AC20</f>
        <v>152406.87522934709</v>
      </c>
      <c r="AD21" s="12">
        <f t="shared" ca="1" si="30"/>
        <v>168160.6779195249</v>
      </c>
      <c r="AE21" s="12">
        <f t="shared" ca="1" si="30"/>
        <v>194229.49898400722</v>
      </c>
      <c r="AF21" s="12">
        <f t="shared" ca="1" si="30"/>
        <v>210762.10200338182</v>
      </c>
      <c r="AG21" s="12">
        <f t="shared" ca="1" si="30"/>
        <v>229154.72432352189</v>
      </c>
      <c r="AO21" s="26" t="s">
        <v>117</v>
      </c>
      <c r="AP21" s="26"/>
      <c r="AQ21" s="65">
        <f ca="1">(AQ7-AP7+AQ11)/AP7</f>
        <v>9.4000000000000153E-2</v>
      </c>
      <c r="AR21" s="65">
        <f t="shared" ref="AR21:AU21" ca="1" si="31">(AR7-AQ7+AR11)/AQ7</f>
        <v>9.416148269839833E-2</v>
      </c>
      <c r="AS21" s="65">
        <f t="shared" ca="1" si="31"/>
        <v>9.4543316272293662E-2</v>
      </c>
      <c r="AT21" s="65">
        <f t="shared" ca="1" si="31"/>
        <v>9.4838381661997484E-2</v>
      </c>
      <c r="AU21" s="65">
        <f t="shared" ca="1" si="31"/>
        <v>9.5135384484615962E-2</v>
      </c>
      <c r="AV21" s="26"/>
      <c r="CA21" s="81" t="s">
        <v>134</v>
      </c>
      <c r="CB21" s="80"/>
      <c r="CC21" s="80">
        <f>AC16*(1-$B$55)</f>
        <v>75043.339200000002</v>
      </c>
      <c r="CD21" s="80">
        <f>AD16*(1-$B$55)</f>
        <v>77909.876126404532</v>
      </c>
      <c r="CE21" s="80">
        <f>AE16*(1-$B$55)</f>
        <v>79067.602028721871</v>
      </c>
      <c r="CF21" s="80">
        <f>AF16*(1-$B$55)</f>
        <v>81958.618211306821</v>
      </c>
      <c r="CG21" s="80">
        <f>AG16*(1-$B$55)</f>
        <v>84759.691668211366</v>
      </c>
      <c r="CH21" s="79"/>
    </row>
    <row r="22" spans="1:86" x14ac:dyDescent="0.2">
      <c r="A22" t="s">
        <v>19</v>
      </c>
      <c r="B22" s="6">
        <f>B20-B21</f>
        <v>306271</v>
      </c>
      <c r="C22" s="6"/>
      <c r="AC22" s="38"/>
      <c r="AO22" s="26"/>
      <c r="AP22" s="26"/>
      <c r="AQ22" s="26"/>
      <c r="AR22" s="26"/>
      <c r="AS22" s="26"/>
      <c r="AT22" s="26"/>
      <c r="AU22" s="26"/>
      <c r="AV22" s="26"/>
      <c r="CA22" s="81" t="s">
        <v>135</v>
      </c>
      <c r="CB22" s="80"/>
      <c r="CC22" s="82">
        <f>SUM(AC37,AC39)-SUM(AB37,AB39)</f>
        <v>139053.37041198695</v>
      </c>
      <c r="CD22" s="82">
        <f>SUM(AD37,AD39)-SUM(AC37,AC39)</f>
        <v>55242.787794966716</v>
      </c>
      <c r="CE22" s="82">
        <f>SUM(AE37,AE39)-SUM(AD37,AD39)</f>
        <v>140072.23423862597</v>
      </c>
      <c r="CF22" s="82">
        <f>SUM(AF37,AF39)-SUM(AE37,AE39)</f>
        <v>135714.43139564642</v>
      </c>
      <c r="CG22" s="82">
        <f>SUM(AG37,AG39)-SUM(AF37,AF39)</f>
        <v>146571.58590729837</v>
      </c>
      <c r="CH22" s="79"/>
    </row>
    <row r="23" spans="1:86" x14ac:dyDescent="0.2">
      <c r="A23" t="s">
        <v>89</v>
      </c>
      <c r="B23" s="7">
        <v>185376</v>
      </c>
      <c r="C23" s="6"/>
      <c r="AA23" s="111" t="s">
        <v>35</v>
      </c>
      <c r="AB23" s="111"/>
      <c r="AC23" s="111"/>
      <c r="AD23" s="111"/>
      <c r="AE23" s="111"/>
      <c r="AF23" s="111"/>
      <c r="AG23" s="111"/>
      <c r="AH23" s="111"/>
      <c r="AO23" s="26" t="s">
        <v>107</v>
      </c>
      <c r="AP23" s="57">
        <f ca="1">AQ11/AP7</f>
        <v>2.8957917360946033E-2</v>
      </c>
      <c r="AQ23" s="57">
        <f t="shared" ref="AQ23:AU23" ca="1" si="32">AR11/AQ7</f>
        <v>7.2993074041349401E-2</v>
      </c>
      <c r="AR23" s="57">
        <f t="shared" ca="1" si="32"/>
        <v>4.6708434375799031E-2</v>
      </c>
      <c r="AS23" s="57">
        <f t="shared" ca="1" si="32"/>
        <v>5.1747235269088546E-2</v>
      </c>
      <c r="AT23" s="57">
        <f t="shared" ca="1" si="32"/>
        <v>5.4061163768470033E-2</v>
      </c>
      <c r="AU23" s="57">
        <f t="shared" ca="1" si="32"/>
        <v>5.4077294892647329E-2</v>
      </c>
      <c r="AV23" s="26"/>
      <c r="CA23" s="79" t="s">
        <v>136</v>
      </c>
      <c r="CB23" s="80"/>
      <c r="CC23" s="80">
        <f ca="1">CC17+CC18-CC19-CC20-CC21+CC22</f>
        <v>164488.28848535527</v>
      </c>
      <c r="CD23" s="80">
        <f t="shared" ref="CD23:CG23" ca="1" si="33">CD17+CD18-CD19-CD20-CD21+CD22</f>
        <v>447720.80604377715</v>
      </c>
      <c r="CE23" s="80">
        <f t="shared" ca="1" si="33"/>
        <v>284629.50650914368</v>
      </c>
      <c r="CF23" s="80">
        <f t="shared" ca="1" si="33"/>
        <v>332212.61266494129</v>
      </c>
      <c r="CG23" s="80">
        <f t="shared" ca="1" si="33"/>
        <v>362618.75707780826</v>
      </c>
      <c r="CH23" s="79"/>
    </row>
    <row r="24" spans="1:86" x14ac:dyDescent="0.2">
      <c r="A24" t="s">
        <v>99</v>
      </c>
      <c r="B24" s="6">
        <f>B22-B23</f>
        <v>120895</v>
      </c>
      <c r="C24" s="6"/>
      <c r="AO24" s="26" t="s">
        <v>108</v>
      </c>
      <c r="AP24" s="26"/>
      <c r="AQ24" s="65">
        <f ca="1">AQ11/AP7</f>
        <v>2.8957917360946033E-2</v>
      </c>
      <c r="AR24" s="65">
        <f t="shared" ref="AR24:AU24" ca="1" si="34">AR11/AQ7</f>
        <v>7.2993074041349401E-2</v>
      </c>
      <c r="AS24" s="65">
        <f t="shared" ca="1" si="34"/>
        <v>4.6708434375799031E-2</v>
      </c>
      <c r="AT24" s="65">
        <f t="shared" ca="1" si="34"/>
        <v>5.1747235269088546E-2</v>
      </c>
      <c r="AU24" s="65">
        <f t="shared" ca="1" si="34"/>
        <v>5.4061163768470033E-2</v>
      </c>
      <c r="AV24" s="65">
        <f ca="1">AV11/AU7</f>
        <v>5.4077294892647329E-2</v>
      </c>
    </row>
    <row r="25" spans="1:86" x14ac:dyDescent="0.2">
      <c r="B25" s="6"/>
      <c r="AA25" t="s">
        <v>34</v>
      </c>
      <c r="AB25" s="9">
        <v>0</v>
      </c>
      <c r="AC25" s="9">
        <v>1</v>
      </c>
      <c r="AD25" s="9">
        <v>2</v>
      </c>
      <c r="AE25" s="9">
        <v>3</v>
      </c>
      <c r="AF25" s="9">
        <v>4</v>
      </c>
      <c r="AG25" s="9">
        <v>5</v>
      </c>
      <c r="AH25" s="10">
        <v>6</v>
      </c>
      <c r="AO25" s="26"/>
      <c r="AP25" s="26"/>
      <c r="AQ25" s="26"/>
      <c r="AR25" s="26"/>
      <c r="AS25" s="26"/>
      <c r="AT25" s="26"/>
      <c r="AU25" s="26"/>
      <c r="AV25" s="26"/>
    </row>
    <row r="26" spans="1:86" x14ac:dyDescent="0.2">
      <c r="AA26" s="11"/>
      <c r="AB26" s="11"/>
      <c r="AC26" s="11"/>
      <c r="AD26" s="11"/>
      <c r="AE26" s="11"/>
      <c r="AF26" s="11"/>
      <c r="AG26" s="11"/>
      <c r="AO26" s="26" t="s">
        <v>112</v>
      </c>
      <c r="AP26" s="26"/>
      <c r="AQ26" s="57">
        <f>AC7/AB7-1</f>
        <v>0.10000000000000009</v>
      </c>
      <c r="AR26" s="57">
        <f>AD7/AC7-1</f>
        <v>9.000000000000008E-2</v>
      </c>
      <c r="AS26" s="57">
        <f t="shared" ref="AS26:AU26" si="35">AE7/AD7-1</f>
        <v>9.000000000000008E-2</v>
      </c>
      <c r="AT26" s="57">
        <f t="shared" si="35"/>
        <v>8.0000000000000071E-2</v>
      </c>
      <c r="AU26" s="57">
        <f t="shared" si="35"/>
        <v>8.0000000000000071E-2</v>
      </c>
      <c r="AV26" s="26"/>
      <c r="CA26" s="91" t="s">
        <v>139</v>
      </c>
      <c r="CB26" s="27" t="s">
        <v>120</v>
      </c>
    </row>
    <row r="27" spans="1:86" x14ac:dyDescent="0.2">
      <c r="A27" s="96" t="s">
        <v>22</v>
      </c>
      <c r="B27" s="96"/>
      <c r="C27" s="96"/>
      <c r="D27" s="96"/>
      <c r="E27" s="96"/>
      <c r="F27" s="96"/>
      <c r="G27" s="96"/>
      <c r="AA27" t="s">
        <v>77</v>
      </c>
      <c r="AB27" s="6">
        <f>IF(AB$25=0,B28,AB$7*$B$60)</f>
        <v>265022</v>
      </c>
      <c r="AC27" s="6">
        <f t="shared" ref="AC27:AG27" si="36">IF(AC$25=0,C28,AC$7*$B$60)</f>
        <v>284935.47500000003</v>
      </c>
      <c r="AD27" s="6">
        <f t="shared" si="36"/>
        <v>310579.66775000002</v>
      </c>
      <c r="AE27" s="6">
        <f t="shared" si="36"/>
        <v>338531.83784750011</v>
      </c>
      <c r="AF27" s="6">
        <f t="shared" si="36"/>
        <v>365614.38487530011</v>
      </c>
      <c r="AG27" s="6">
        <f t="shared" si="36"/>
        <v>394863.53566532419</v>
      </c>
      <c r="AO27" s="26" t="s">
        <v>113</v>
      </c>
      <c r="AP27" s="26"/>
      <c r="AQ27" s="57">
        <f ca="1">AC19/AB19-1</f>
        <v>0.24405245052051194</v>
      </c>
      <c r="AR27" s="57">
        <f t="shared" ref="AR27:AU27" ca="1" si="37">AD19/AC19-1</f>
        <v>0.10336674553868352</v>
      </c>
      <c r="AS27" s="57">
        <f t="shared" ca="1" si="37"/>
        <v>0.15502328717393632</v>
      </c>
      <c r="AT27" s="57">
        <f t="shared" ca="1" si="37"/>
        <v>8.5118908846775865E-2</v>
      </c>
      <c r="AU27" s="57">
        <f t="shared" ca="1" si="37"/>
        <v>8.7267218087647258E-2</v>
      </c>
      <c r="AV27" s="26"/>
      <c r="CA27" s="91"/>
      <c r="CB27" s="27" t="s">
        <v>136</v>
      </c>
    </row>
    <row r="28" spans="1:86" x14ac:dyDescent="0.2">
      <c r="A28" t="s">
        <v>77</v>
      </c>
      <c r="B28" s="7">
        <v>265022</v>
      </c>
      <c r="C28" s="30"/>
      <c r="AA28" t="s">
        <v>78</v>
      </c>
      <c r="AB28" s="6">
        <f>IF(AB$25=0,B29,AB$7*$B$61)</f>
        <v>498037</v>
      </c>
      <c r="AC28" s="6">
        <f t="shared" ref="AC28:AG28" si="38">IF(AC$25=0,C29,AC$7*$B$61)</f>
        <v>569870.95000000007</v>
      </c>
      <c r="AD28" s="6">
        <f t="shared" si="38"/>
        <v>621159.33550000004</v>
      </c>
      <c r="AE28" s="6">
        <f t="shared" si="38"/>
        <v>677063.67569500022</v>
      </c>
      <c r="AF28" s="6">
        <f t="shared" si="38"/>
        <v>731228.76975060022</v>
      </c>
      <c r="AG28" s="6">
        <f t="shared" si="38"/>
        <v>789727.07133064838</v>
      </c>
      <c r="AO28" s="26" t="s">
        <v>75</v>
      </c>
      <c r="AP28" s="26"/>
      <c r="AQ28" s="57">
        <f ca="1">AC20/AB20-1</f>
        <v>0.23322497434414702</v>
      </c>
      <c r="AR28" s="57">
        <f t="shared" ref="AR28:AU28" ca="1" si="39">AD20/AC20-1</f>
        <v>0.10336674553868352</v>
      </c>
      <c r="AS28" s="57">
        <f t="shared" ca="1" si="39"/>
        <v>0.1550232871739361</v>
      </c>
      <c r="AT28" s="57">
        <f t="shared" ca="1" si="39"/>
        <v>8.5118908846775865E-2</v>
      </c>
      <c r="AU28" s="57">
        <f t="shared" ca="1" si="39"/>
        <v>8.7267218087647036E-2</v>
      </c>
      <c r="AV28" s="26"/>
    </row>
    <row r="29" spans="1:86" x14ac:dyDescent="0.2">
      <c r="A29" t="s">
        <v>78</v>
      </c>
      <c r="B29" s="7">
        <v>498037</v>
      </c>
      <c r="C29" s="30"/>
      <c r="AA29" s="11" t="s">
        <v>79</v>
      </c>
      <c r="AB29" s="12">
        <f>IF(AB$25=0,B30,AB$7*$B$62)</f>
        <v>422055</v>
      </c>
      <c r="AC29" s="12">
        <f t="shared" ref="AC29:AG29" si="40">IF(AC$25=0,C30,AC$7*$B$62)</f>
        <v>455896.76</v>
      </c>
      <c r="AD29" s="12">
        <f t="shared" si="40"/>
        <v>496927.46840000007</v>
      </c>
      <c r="AE29" s="12">
        <f t="shared" si="40"/>
        <v>541650.9405560001</v>
      </c>
      <c r="AF29" s="12">
        <f t="shared" si="40"/>
        <v>584983.01580048015</v>
      </c>
      <c r="AG29" s="12">
        <f t="shared" si="40"/>
        <v>631781.65706451866</v>
      </c>
      <c r="AO29" s="26"/>
      <c r="AP29" s="26"/>
      <c r="AQ29" s="26"/>
      <c r="AR29" s="26"/>
      <c r="AS29" s="26"/>
      <c r="AT29" s="26"/>
      <c r="AU29" s="26"/>
      <c r="AV29" s="26"/>
      <c r="CA29" s="97" t="s">
        <v>140</v>
      </c>
      <c r="CB29" s="97"/>
      <c r="CC29" s="58">
        <f>AB37/(SUM(AB37,AB39))</f>
        <v>0.19093257135137753</v>
      </c>
    </row>
    <row r="30" spans="1:86" x14ac:dyDescent="0.2">
      <c r="A30" t="s">
        <v>79</v>
      </c>
      <c r="B30" s="7">
        <v>422055</v>
      </c>
      <c r="C30" s="30"/>
      <c r="AA30" t="s">
        <v>23</v>
      </c>
      <c r="AB30" s="6">
        <f>SUM(AB27:AB29)</f>
        <v>1185114</v>
      </c>
      <c r="AC30" s="6">
        <f t="shared" ref="AC30:AG30" si="41">SUM(AC27:AC29)</f>
        <v>1310703.1850000001</v>
      </c>
      <c r="AD30" s="6">
        <f t="shared" si="41"/>
        <v>1428666.4716500002</v>
      </c>
      <c r="AE30" s="6">
        <f t="shared" si="41"/>
        <v>1557246.4540985003</v>
      </c>
      <c r="AF30" s="6">
        <f t="shared" si="41"/>
        <v>1681826.1704263804</v>
      </c>
      <c r="AG30" s="6">
        <f t="shared" si="41"/>
        <v>1816372.2640604912</v>
      </c>
      <c r="AO30" s="26" t="s">
        <v>114</v>
      </c>
      <c r="AP30" s="26"/>
      <c r="AQ30" s="57">
        <f ca="1">AQ10/AP10-1</f>
        <v>0.22565815570434333</v>
      </c>
      <c r="AR30" s="57">
        <f t="shared" ref="AR30:AT30" ca="1" si="42">AR10/AQ10-1</f>
        <v>0.13569072732134013</v>
      </c>
      <c r="AS30" s="57">
        <f t="shared" ca="1" si="42"/>
        <v>0.14844637714924125</v>
      </c>
      <c r="AT30" s="57">
        <f t="shared" ca="1" si="42"/>
        <v>8.3239915227948602E-2</v>
      </c>
      <c r="AU30" s="57">
        <f ca="1">AU10/AT10-1</f>
        <v>8.5568239339581575E-2</v>
      </c>
      <c r="AV30" s="26"/>
      <c r="CA30" s="97" t="s">
        <v>141</v>
      </c>
      <c r="CB30" s="97"/>
      <c r="CC30" s="59">
        <f>1-CC29</f>
        <v>0.80906742864862247</v>
      </c>
    </row>
    <row r="31" spans="1:86" x14ac:dyDescent="0.2">
      <c r="A31" t="s">
        <v>23</v>
      </c>
      <c r="B31" s="6">
        <f>SUM(B28:B30)</f>
        <v>1185114</v>
      </c>
      <c r="C31" s="30"/>
      <c r="AA31" t="s">
        <v>90</v>
      </c>
      <c r="AB31" s="6">
        <f>SUM(AB32:AB33)</f>
        <v>3665841</v>
      </c>
      <c r="AC31" s="6">
        <f t="shared" ref="AC31:AG31" si="43">SUM(AC32:AC33)</f>
        <v>4356406.6999999993</v>
      </c>
      <c r="AD31" s="6">
        <f t="shared" si="43"/>
        <v>4763864.429250001</v>
      </c>
      <c r="AE31" s="6">
        <f t="shared" si="43"/>
        <v>5481303.4617525013</v>
      </c>
      <c r="AF31" s="6">
        <f t="shared" si="43"/>
        <v>6226073.5050170012</v>
      </c>
      <c r="AG31" s="6">
        <f t="shared" si="43"/>
        <v>7030425.1517426632</v>
      </c>
      <c r="AO31" s="26" t="s">
        <v>115</v>
      </c>
      <c r="AP31" s="26"/>
      <c r="AQ31" s="26"/>
      <c r="AR31" s="57">
        <f ca="1">AR11/AQ11-1</f>
        <v>1.6846093462532661</v>
      </c>
      <c r="AS31" s="57">
        <f t="shared" ref="AS31:AU31" ca="1" si="44">AS11/AR11-1</f>
        <v>-0.34655200881966941</v>
      </c>
      <c r="AT31" s="57">
        <f t="shared" ca="1" si="44"/>
        <v>0.16087295327436135</v>
      </c>
      <c r="AU31" s="57">
        <f t="shared" ca="1" si="44"/>
        <v>8.9733992499372528E-2</v>
      </c>
      <c r="AV31" s="26"/>
    </row>
    <row r="32" spans="1:86" ht="15" customHeight="1" x14ac:dyDescent="0.2">
      <c r="A32" t="s">
        <v>90</v>
      </c>
      <c r="B32" s="6">
        <f>SUM(B33:B34)</f>
        <v>3665841</v>
      </c>
      <c r="C32" s="30"/>
      <c r="AA32" s="11" t="s">
        <v>91</v>
      </c>
      <c r="AB32" s="12">
        <f>IF(AB$25=0,B33,SUM(AA32,AB11))</f>
        <v>565091</v>
      </c>
      <c r="AC32" s="12">
        <f t="shared" ref="AC32:AG32" si="45">IF(AC$25=0,C33,SUM(AB32,AC11))</f>
        <v>937181</v>
      </c>
      <c r="AD32" s="12">
        <f t="shared" si="45"/>
        <v>1347488.084</v>
      </c>
      <c r="AE32" s="12">
        <f t="shared" si="45"/>
        <v>1757453.2454300001</v>
      </c>
      <c r="AF32" s="12">
        <f t="shared" si="45"/>
        <v>2204315.2713887002</v>
      </c>
      <c r="AG32" s="12">
        <f t="shared" si="45"/>
        <v>2686926.2594240964</v>
      </c>
      <c r="CA32" s="97" t="s">
        <v>142</v>
      </c>
      <c r="CB32" s="97"/>
      <c r="CC32" s="27">
        <f ca="1">AG20/AG19</f>
        <v>0.6</v>
      </c>
    </row>
    <row r="33" spans="1:81" ht="15" customHeight="1" x14ac:dyDescent="0.2">
      <c r="A33" t="s">
        <v>91</v>
      </c>
      <c r="B33" s="7">
        <v>565091</v>
      </c>
      <c r="C33" s="30"/>
      <c r="I33" s="102" t="s">
        <v>31</v>
      </c>
      <c r="J33" s="102"/>
      <c r="AA33" s="11" t="s">
        <v>13</v>
      </c>
      <c r="AB33" s="12">
        <f>IF(AB$25=0,B34,AB$7*VLOOKUP(AB$7,$B$70:$C$74,2,1))</f>
        <v>3100750</v>
      </c>
      <c r="AC33" s="12">
        <f t="shared" ref="AC33:AG33" si="46">IF(AC$25=0,C34,AC$7*VLOOKUP(AC$7,$B$70:$C$74,2,1))</f>
        <v>3419225.6999999997</v>
      </c>
      <c r="AD33" s="12">
        <f t="shared" si="46"/>
        <v>3416376.3452500007</v>
      </c>
      <c r="AE33" s="12">
        <f t="shared" si="46"/>
        <v>3723850.2163225012</v>
      </c>
      <c r="AF33" s="12">
        <f t="shared" si="46"/>
        <v>4021758.2336283014</v>
      </c>
      <c r="AG33" s="12">
        <f t="shared" si="46"/>
        <v>4343498.8923185663</v>
      </c>
      <c r="CA33" s="97" t="s">
        <v>143</v>
      </c>
      <c r="CB33" s="97"/>
      <c r="CC33" s="27">
        <f ca="1">1-CC32</f>
        <v>0.4</v>
      </c>
    </row>
    <row r="34" spans="1:81" ht="15" customHeight="1" x14ac:dyDescent="0.2">
      <c r="A34" t="s">
        <v>13</v>
      </c>
      <c r="B34" s="7">
        <v>3100750</v>
      </c>
      <c r="C34" s="30"/>
      <c r="I34" s="103">
        <f ca="1">I16</f>
        <v>11.328784816979292</v>
      </c>
      <c r="J34" s="104"/>
      <c r="AA34" t="s">
        <v>24</v>
      </c>
      <c r="AB34" s="6">
        <f>SUM(AB30,AB33)</f>
        <v>4285864</v>
      </c>
      <c r="AC34" s="6">
        <f t="shared" ref="AC34:AG34" si="47">SUM(AC30,AC33)</f>
        <v>4729928.8849999998</v>
      </c>
      <c r="AD34" s="6">
        <f t="shared" si="47"/>
        <v>4845042.8169000009</v>
      </c>
      <c r="AE34" s="6">
        <f t="shared" si="47"/>
        <v>5281096.6704210015</v>
      </c>
      <c r="AF34" s="6">
        <f t="shared" si="47"/>
        <v>5703584.4040546818</v>
      </c>
      <c r="AG34" s="6">
        <f t="shared" si="47"/>
        <v>6159871.1563790571</v>
      </c>
    </row>
    <row r="35" spans="1:81" x14ac:dyDescent="0.2">
      <c r="A35" t="s">
        <v>24</v>
      </c>
      <c r="B35" s="6">
        <f>SUM(B31,B34)</f>
        <v>4285864</v>
      </c>
      <c r="C35" s="30"/>
      <c r="I35" s="105"/>
      <c r="J35" s="106"/>
      <c r="AA35" s="11"/>
      <c r="AB35" s="14"/>
      <c r="AC35" s="14"/>
      <c r="AD35" s="14"/>
      <c r="AE35" s="14"/>
      <c r="AF35" s="14"/>
      <c r="AG35" s="14"/>
    </row>
    <row r="36" spans="1:81" x14ac:dyDescent="0.2">
      <c r="C36" s="30"/>
      <c r="I36" s="107"/>
      <c r="J36" s="108"/>
      <c r="AA36" t="s">
        <v>92</v>
      </c>
      <c r="AB36" s="6">
        <f>IF(AB$25=0,B37,AB$7*$B$64)</f>
        <v>615276</v>
      </c>
      <c r="AC36" s="6">
        <f t="shared" ref="AC36:AG36" si="48">IF(AC$25=0,C37,AC$7*$B$64)</f>
        <v>683845.14</v>
      </c>
      <c r="AD36" s="6">
        <f t="shared" si="48"/>
        <v>745391.20260000008</v>
      </c>
      <c r="AE36" s="6">
        <f t="shared" si="48"/>
        <v>812476.4108340001</v>
      </c>
      <c r="AF36" s="6">
        <f t="shared" si="48"/>
        <v>877474.52370072028</v>
      </c>
      <c r="AG36" s="6">
        <f t="shared" si="48"/>
        <v>947672.48559677787</v>
      </c>
      <c r="CA36" s="100" t="s">
        <v>144</v>
      </c>
      <c r="CB36" s="100"/>
    </row>
    <row r="37" spans="1:81" x14ac:dyDescent="0.2">
      <c r="A37" t="s">
        <v>92</v>
      </c>
      <c r="B37" s="7">
        <v>615276</v>
      </c>
      <c r="C37" s="30"/>
      <c r="I37" s="117" t="str">
        <f>_xlfn.CONCAT("Based on ",$B$104)</f>
        <v>Based on FCFE</v>
      </c>
      <c r="J37" s="117"/>
      <c r="AA37" s="11" t="s">
        <v>93</v>
      </c>
      <c r="AB37" s="12">
        <f>IF(AB$25=0,B38,AB$7*$B$65)</f>
        <v>260062</v>
      </c>
      <c r="AC37" s="12">
        <f t="shared" ref="AC37:AG37" si="49">IF(AC$25=0,C38,AC$7*$B$65)</f>
        <v>284935.47500000003</v>
      </c>
      <c r="AD37" s="12">
        <f t="shared" si="49"/>
        <v>310579.66775000002</v>
      </c>
      <c r="AE37" s="12">
        <f t="shared" si="49"/>
        <v>338531.83784750011</v>
      </c>
      <c r="AF37" s="12">
        <f t="shared" si="49"/>
        <v>365614.38487530011</v>
      </c>
      <c r="AG37" s="12">
        <f t="shared" si="49"/>
        <v>394863.53566532419</v>
      </c>
      <c r="CA37" s="66" t="s">
        <v>1</v>
      </c>
      <c r="CB37" s="66" t="s">
        <v>12</v>
      </c>
    </row>
    <row r="38" spans="1:81" x14ac:dyDescent="0.2">
      <c r="A38" t="s">
        <v>93</v>
      </c>
      <c r="B38" s="7">
        <v>260062</v>
      </c>
      <c r="C38" s="30"/>
      <c r="I38" s="118"/>
      <c r="J38" s="118"/>
      <c r="AA38" t="s">
        <v>26</v>
      </c>
      <c r="AB38" s="6">
        <f>SUM(AB36:AB37)</f>
        <v>875338</v>
      </c>
      <c r="AC38" s="6">
        <f t="shared" ref="AC38:AG38" si="50">SUM(AC36:AC37)</f>
        <v>968780.61499999999</v>
      </c>
      <c r="AD38" s="6">
        <f t="shared" si="50"/>
        <v>1055970.87035</v>
      </c>
      <c r="AE38" s="6">
        <f t="shared" si="50"/>
        <v>1151008.2486815001</v>
      </c>
      <c r="AF38" s="6">
        <f t="shared" si="50"/>
        <v>1243088.9085760205</v>
      </c>
      <c r="AG38" s="6">
        <f t="shared" si="50"/>
        <v>1342536.0212621021</v>
      </c>
      <c r="CA38" s="64">
        <f>IF(B71&lt;B70,1,0)</f>
        <v>0</v>
      </c>
      <c r="CB38" s="64">
        <f>IF(C71&gt;C70,1,0)</f>
        <v>0</v>
      </c>
    </row>
    <row r="39" spans="1:81" x14ac:dyDescent="0.2">
      <c r="A39" t="s">
        <v>26</v>
      </c>
      <c r="B39" s="6">
        <f>SUM(B37:B38)</f>
        <v>875338</v>
      </c>
      <c r="C39" s="30"/>
      <c r="AA39" s="11" t="s">
        <v>94</v>
      </c>
      <c r="AB39" s="12">
        <f>IF(AB$25=0,B40,AB34*AB61)</f>
        <v>1102000</v>
      </c>
      <c r="AC39" s="12">
        <f>IF(AC$25=0,C40,AC34*AC62)</f>
        <v>1216179.8954119869</v>
      </c>
      <c r="AD39" s="12">
        <f>IF(AD$25=0,D40,AD34*AD62)</f>
        <v>1245778.4904569536</v>
      </c>
      <c r="AE39" s="12">
        <f>IF(AE$25=0,E40,AE34*AE62)</f>
        <v>1357898.5545980795</v>
      </c>
      <c r="AF39" s="12">
        <f>IF(AF$25=0,F40,AF34*AF62)</f>
        <v>1466530.4389659259</v>
      </c>
      <c r="AG39" s="12">
        <f>IF(AG$25=0,G40,AG34*AG62)</f>
        <v>1583852.8740832002</v>
      </c>
      <c r="CA39" s="64">
        <f>IF(B72&lt;B71,1,0)</f>
        <v>0</v>
      </c>
      <c r="CB39" s="64">
        <f>IF(C72&gt;C71,1,0)</f>
        <v>0</v>
      </c>
    </row>
    <row r="40" spans="1:81" x14ac:dyDescent="0.2">
      <c r="A40" t="s">
        <v>94</v>
      </c>
      <c r="B40" s="7">
        <v>1102000</v>
      </c>
      <c r="C40" s="30"/>
      <c r="AA40" t="s">
        <v>25</v>
      </c>
      <c r="AB40" s="6">
        <f>SUM(AB38:AB39)</f>
        <v>1977338</v>
      </c>
      <c r="AC40" s="6">
        <f t="shared" ref="AC40:AG40" si="51">SUM(AC38:AC39)</f>
        <v>2184960.5104119871</v>
      </c>
      <c r="AD40" s="6">
        <f t="shared" si="51"/>
        <v>2301749.3608069536</v>
      </c>
      <c r="AE40" s="6">
        <f t="shared" si="51"/>
        <v>2508906.8032795796</v>
      </c>
      <c r="AF40" s="6">
        <f t="shared" si="51"/>
        <v>2709619.3475419465</v>
      </c>
      <c r="AG40" s="6">
        <f t="shared" si="51"/>
        <v>2926388.8953453023</v>
      </c>
      <c r="CA40" s="64">
        <f>IF(B73&lt;B72,1,0)</f>
        <v>0</v>
      </c>
      <c r="CB40" s="64">
        <f>IF(C73&gt;C72,1,0)</f>
        <v>0</v>
      </c>
    </row>
    <row r="41" spans="1:81" ht="15" customHeight="1" x14ac:dyDescent="0.2">
      <c r="A41" t="s">
        <v>25</v>
      </c>
      <c r="B41" s="6">
        <f>SUM(B39:B40)</f>
        <v>1977338</v>
      </c>
      <c r="C41" s="30"/>
      <c r="AA41" s="41" t="s">
        <v>95</v>
      </c>
      <c r="AB41" s="42">
        <f>IFERROR(AB43-AB42,1500000)</f>
        <v>1998269</v>
      </c>
      <c r="AC41" s="42">
        <f t="shared" ref="AC41:AG41" ca="1" si="52">IFERROR(AC43-AC42,1500000)</f>
        <v>2082304.4993586657</v>
      </c>
      <c r="AD41" s="42">
        <f t="shared" ca="1" si="52"/>
        <v>1912468.9029441753</v>
      </c>
      <c r="AE41" s="42">
        <f t="shared" ca="1" si="52"/>
        <v>1947135.8150085427</v>
      </c>
      <c r="AF41" s="42">
        <f t="shared" ca="1" si="52"/>
        <v>1958148.9023764743</v>
      </c>
      <c r="AG41" s="42">
        <f t="shared" ca="1" si="52"/>
        <v>1968511.382573972</v>
      </c>
      <c r="CA41" s="64">
        <f>IF(B74&lt;B73,1,0)</f>
        <v>0</v>
      </c>
      <c r="CB41" s="64">
        <f>IF(C74&gt;C73,1,0)</f>
        <v>0</v>
      </c>
    </row>
    <row r="42" spans="1:81" ht="15" customHeight="1" x14ac:dyDescent="0.2">
      <c r="A42" t="s">
        <v>95</v>
      </c>
      <c r="B42" s="6">
        <f>B44-B43</f>
        <v>1998269</v>
      </c>
      <c r="C42" s="30"/>
      <c r="AA42" s="39" t="s">
        <v>96</v>
      </c>
      <c r="AB42" s="40">
        <f>IF(AB$25=0,B43,SUM(AA42,AB21))</f>
        <v>310257</v>
      </c>
      <c r="AC42" s="40">
        <f t="shared" ref="AC42:AG42" ca="1" si="53">IF(AC$25=0,C43,SUM(AB42,AC21))</f>
        <v>462663.87522934709</v>
      </c>
      <c r="AD42" s="40">
        <f t="shared" ca="1" si="53"/>
        <v>630824.55314887199</v>
      </c>
      <c r="AE42" s="40">
        <f t="shared" ca="1" si="53"/>
        <v>825054.05213287915</v>
      </c>
      <c r="AF42" s="40">
        <f t="shared" ca="1" si="53"/>
        <v>1035816.154136261</v>
      </c>
      <c r="AG42" s="40">
        <f t="shared" ca="1" si="53"/>
        <v>1264970.8784597828</v>
      </c>
      <c r="CA42" s="67">
        <f>SUM(CA38:CA41)</f>
        <v>0</v>
      </c>
      <c r="CB42" s="67">
        <f>SUM(CB38:CB41)</f>
        <v>0</v>
      </c>
    </row>
    <row r="43" spans="1:81" ht="15" customHeight="1" x14ac:dyDescent="0.2">
      <c r="A43" t="s">
        <v>96</v>
      </c>
      <c r="B43" s="7">
        <v>310257</v>
      </c>
      <c r="C43" s="30"/>
      <c r="AA43" s="11" t="s">
        <v>60</v>
      </c>
      <c r="AB43" s="12">
        <f>AB44-AB40</f>
        <v>2308526</v>
      </c>
      <c r="AC43" s="12">
        <f t="shared" ref="AC43:AG43" si="54">AC44-AC40</f>
        <v>2544968.3745880127</v>
      </c>
      <c r="AD43" s="12">
        <f t="shared" si="54"/>
        <v>2543293.4560930473</v>
      </c>
      <c r="AE43" s="12">
        <f t="shared" si="54"/>
        <v>2772189.8671414219</v>
      </c>
      <c r="AF43" s="12">
        <f t="shared" si="54"/>
        <v>2993965.0565127353</v>
      </c>
      <c r="AG43" s="12">
        <f t="shared" si="54"/>
        <v>3233482.2610337548</v>
      </c>
    </row>
    <row r="44" spans="1:81" x14ac:dyDescent="0.2">
      <c r="A44" t="s">
        <v>60</v>
      </c>
      <c r="B44" s="6">
        <f>B45-B41</f>
        <v>2308526</v>
      </c>
      <c r="C44" s="30"/>
      <c r="AA44" s="15" t="s">
        <v>27</v>
      </c>
      <c r="AB44" s="34">
        <f>AB34</f>
        <v>4285864</v>
      </c>
      <c r="AC44" s="34">
        <f t="shared" ref="AC44:AG44" si="55">AC34</f>
        <v>4729928.8849999998</v>
      </c>
      <c r="AD44" s="34">
        <f t="shared" si="55"/>
        <v>4845042.8169000009</v>
      </c>
      <c r="AE44" s="34">
        <f t="shared" si="55"/>
        <v>5281096.6704210015</v>
      </c>
      <c r="AF44" s="34">
        <f t="shared" si="55"/>
        <v>5703584.4040546818</v>
      </c>
      <c r="AG44" s="34">
        <f t="shared" si="55"/>
        <v>6159871.1563790571</v>
      </c>
    </row>
    <row r="45" spans="1:81" x14ac:dyDescent="0.2">
      <c r="A45" t="s">
        <v>27</v>
      </c>
      <c r="B45" s="6">
        <f>B35</f>
        <v>4285864</v>
      </c>
      <c r="C45" s="30"/>
      <c r="AB45" s="13"/>
      <c r="AC45" s="13"/>
      <c r="AD45" s="13"/>
      <c r="AE45" s="13"/>
      <c r="AF45" s="13"/>
      <c r="AG45" s="13"/>
    </row>
    <row r="46" spans="1:81" x14ac:dyDescent="0.2">
      <c r="C46" s="30"/>
      <c r="AA46" s="111" t="s">
        <v>36</v>
      </c>
      <c r="AB46" s="111"/>
      <c r="AC46" s="111"/>
      <c r="AD46" s="111"/>
      <c r="AE46" s="111"/>
      <c r="AF46" s="111"/>
      <c r="AG46" s="111"/>
      <c r="AH46" s="111"/>
    </row>
    <row r="47" spans="1:81" x14ac:dyDescent="0.2">
      <c r="A47" t="s">
        <v>72</v>
      </c>
      <c r="B47" s="25">
        <v>501400</v>
      </c>
      <c r="C47" s="30"/>
    </row>
    <row r="48" spans="1:81" x14ac:dyDescent="0.2">
      <c r="AA48" t="s">
        <v>34</v>
      </c>
      <c r="AB48" s="9">
        <v>0</v>
      </c>
      <c r="AC48" s="9">
        <v>1</v>
      </c>
      <c r="AD48" s="9">
        <v>2</v>
      </c>
      <c r="AE48" s="9">
        <v>3</v>
      </c>
      <c r="AF48" s="9">
        <v>4</v>
      </c>
      <c r="AG48" s="9">
        <v>5</v>
      </c>
      <c r="AH48" s="10">
        <v>6</v>
      </c>
    </row>
    <row r="49" spans="1:33" x14ac:dyDescent="0.2">
      <c r="A49" s="96" t="s">
        <v>1</v>
      </c>
      <c r="B49" s="96"/>
      <c r="C49" s="96"/>
      <c r="D49" s="96"/>
      <c r="E49" s="96"/>
      <c r="F49" s="96"/>
      <c r="G49" s="96"/>
    </row>
    <row r="50" spans="1:33" x14ac:dyDescent="0.2">
      <c r="A50" t="s">
        <v>2</v>
      </c>
      <c r="C50" s="2">
        <v>0.1</v>
      </c>
      <c r="D50" s="2">
        <v>0.09</v>
      </c>
      <c r="E50" s="2">
        <v>0.09</v>
      </c>
      <c r="F50" s="2">
        <v>0.08</v>
      </c>
      <c r="G50" s="2">
        <v>0.08</v>
      </c>
      <c r="AA50" t="s">
        <v>37</v>
      </c>
      <c r="AB50" s="32">
        <f>B79+B86*B80-B82</f>
        <v>9.7999999999999997E-3</v>
      </c>
      <c r="AC50" s="32">
        <f>AB50</f>
        <v>9.7999999999999997E-3</v>
      </c>
      <c r="AD50" s="32">
        <f t="shared" ref="AD50:AG53" si="56">AC50</f>
        <v>9.7999999999999997E-3</v>
      </c>
      <c r="AE50" s="32">
        <f t="shared" si="56"/>
        <v>9.7999999999999997E-3</v>
      </c>
      <c r="AF50" s="32">
        <f t="shared" si="56"/>
        <v>9.7999999999999997E-3</v>
      </c>
      <c r="AG50" s="32">
        <f t="shared" si="56"/>
        <v>9.7999999999999997E-3</v>
      </c>
    </row>
    <row r="51" spans="1:33" x14ac:dyDescent="0.2">
      <c r="AA51" t="s">
        <v>61</v>
      </c>
      <c r="AB51" s="32">
        <f>B79+B87*B80+B81</f>
        <v>3.6000000000000004E-2</v>
      </c>
      <c r="AC51" s="32">
        <f>AB51</f>
        <v>3.6000000000000004E-2</v>
      </c>
      <c r="AD51" s="32">
        <f t="shared" si="56"/>
        <v>3.6000000000000004E-2</v>
      </c>
      <c r="AE51" s="32">
        <f t="shared" si="56"/>
        <v>3.6000000000000004E-2</v>
      </c>
      <c r="AF51" s="32">
        <f t="shared" si="56"/>
        <v>3.6000000000000004E-2</v>
      </c>
      <c r="AG51" s="32">
        <f t="shared" si="56"/>
        <v>3.6000000000000004E-2</v>
      </c>
    </row>
    <row r="52" spans="1:33" x14ac:dyDescent="0.2">
      <c r="AA52" t="s">
        <v>65</v>
      </c>
      <c r="AB52" s="33">
        <f>B78</f>
        <v>0.105</v>
      </c>
      <c r="AC52" s="32">
        <f>AB52</f>
        <v>0.105</v>
      </c>
      <c r="AD52" s="32">
        <f t="shared" si="56"/>
        <v>0.105</v>
      </c>
      <c r="AE52" s="32">
        <f t="shared" si="56"/>
        <v>0.105</v>
      </c>
      <c r="AF52" s="32">
        <f t="shared" si="56"/>
        <v>0.105</v>
      </c>
      <c r="AG52" s="32">
        <f t="shared" si="56"/>
        <v>0.105</v>
      </c>
    </row>
    <row r="53" spans="1:33" x14ac:dyDescent="0.2">
      <c r="A53" s="96" t="s">
        <v>3</v>
      </c>
      <c r="B53" s="96"/>
      <c r="C53" s="96"/>
      <c r="D53" s="96"/>
      <c r="E53" s="96"/>
      <c r="F53" s="96"/>
      <c r="G53" s="96"/>
      <c r="AA53" t="s">
        <v>103</v>
      </c>
      <c r="AB53" s="33">
        <f>B79+B88*B80</f>
        <v>3.4000000000000002E-2</v>
      </c>
      <c r="AC53" s="32">
        <f>AB53</f>
        <v>3.4000000000000002E-2</v>
      </c>
      <c r="AD53" s="32">
        <f t="shared" si="56"/>
        <v>3.4000000000000002E-2</v>
      </c>
      <c r="AE53" s="32">
        <f t="shared" si="56"/>
        <v>3.4000000000000002E-2</v>
      </c>
      <c r="AF53" s="32">
        <f t="shared" si="56"/>
        <v>3.4000000000000002E-2</v>
      </c>
      <c r="AG53" s="32">
        <f t="shared" si="56"/>
        <v>3.4000000000000002E-2</v>
      </c>
    </row>
    <row r="54" spans="1:33" x14ac:dyDescent="0.2">
      <c r="A54" s="28" t="s">
        <v>102</v>
      </c>
      <c r="B54" s="2">
        <v>0.8</v>
      </c>
      <c r="AB54" s="31"/>
      <c r="AC54" s="31"/>
      <c r="AD54" s="31"/>
      <c r="AE54" s="31"/>
      <c r="AF54" s="31"/>
      <c r="AG54" s="31"/>
    </row>
    <row r="55" spans="1:33" x14ac:dyDescent="0.2">
      <c r="A55" t="s">
        <v>4</v>
      </c>
      <c r="B55" s="2">
        <v>0.4</v>
      </c>
      <c r="AA55" t="s">
        <v>118</v>
      </c>
      <c r="AB55" s="35"/>
      <c r="AC55" s="36">
        <v>0</v>
      </c>
      <c r="AD55" s="36">
        <v>0</v>
      </c>
      <c r="AE55" s="36">
        <v>0</v>
      </c>
      <c r="AF55" s="36">
        <v>0</v>
      </c>
      <c r="AG55" s="36">
        <v>0</v>
      </c>
    </row>
    <row r="56" spans="1:33" x14ac:dyDescent="0.2">
      <c r="A56" t="s">
        <v>5</v>
      </c>
      <c r="B56" s="2">
        <v>0.6</v>
      </c>
      <c r="AA56" t="s">
        <v>48</v>
      </c>
      <c r="AB56" s="37">
        <f>AB39</f>
        <v>1102000</v>
      </c>
      <c r="AC56" s="37">
        <f>AB56-AC55</f>
        <v>1102000</v>
      </c>
      <c r="AD56" s="37">
        <f t="shared" ref="AD56:AG56" si="57">AC56-AD55</f>
        <v>1102000</v>
      </c>
      <c r="AE56" s="37">
        <f t="shared" si="57"/>
        <v>1102000</v>
      </c>
      <c r="AF56" s="37">
        <f t="shared" si="57"/>
        <v>1102000</v>
      </c>
      <c r="AG56" s="37">
        <f t="shared" si="57"/>
        <v>1102000</v>
      </c>
    </row>
    <row r="58" spans="1:33" x14ac:dyDescent="0.2">
      <c r="AA58" t="s">
        <v>44</v>
      </c>
      <c r="AC58" s="6">
        <f>AC39-AB39</f>
        <v>114179.89541198686</v>
      </c>
      <c r="AD58" s="6">
        <f t="shared" ref="AD58:AG58" si="58">AD39-AC39</f>
        <v>29598.595044966787</v>
      </c>
      <c r="AE58" s="6">
        <f t="shared" si="58"/>
        <v>112120.06414112588</v>
      </c>
      <c r="AF58" s="6">
        <f t="shared" si="58"/>
        <v>108631.88436784642</v>
      </c>
      <c r="AG58" s="6">
        <f t="shared" si="58"/>
        <v>117322.43511727429</v>
      </c>
    </row>
    <row r="59" spans="1:33" x14ac:dyDescent="0.2">
      <c r="A59" s="96" t="s">
        <v>6</v>
      </c>
      <c r="B59" s="96"/>
      <c r="C59" s="96"/>
      <c r="D59" s="96"/>
      <c r="E59" s="96"/>
      <c r="F59" s="96"/>
      <c r="G59" s="96"/>
      <c r="AA59" t="s">
        <v>45</v>
      </c>
      <c r="AC59" s="6">
        <f>SUM(AB59,AC58)</f>
        <v>114179.89541198686</v>
      </c>
      <c r="AD59" s="6">
        <f t="shared" ref="AD59:AG59" si="59">SUM(AC59,AD58)</f>
        <v>143778.49045695364</v>
      </c>
      <c r="AE59" s="6">
        <f t="shared" si="59"/>
        <v>255898.55459807953</v>
      </c>
      <c r="AF59" s="6">
        <f t="shared" si="59"/>
        <v>364530.43896592595</v>
      </c>
      <c r="AG59" s="6">
        <f t="shared" si="59"/>
        <v>481852.87408320024</v>
      </c>
    </row>
    <row r="60" spans="1:33" x14ac:dyDescent="0.2">
      <c r="A60" t="s">
        <v>63</v>
      </c>
      <c r="B60" s="2">
        <v>0.05</v>
      </c>
    </row>
    <row r="61" spans="1:33" x14ac:dyDescent="0.2">
      <c r="A61" t="s">
        <v>7</v>
      </c>
      <c r="B61" s="2">
        <v>0.1</v>
      </c>
      <c r="I61" s="102" t="s">
        <v>31</v>
      </c>
      <c r="J61" s="102"/>
      <c r="AA61" t="s">
        <v>43</v>
      </c>
      <c r="AB61" s="16">
        <f>AB39/AB34</f>
        <v>0.25712435112266746</v>
      </c>
    </row>
    <row r="62" spans="1:33" x14ac:dyDescent="0.2">
      <c r="A62" t="s">
        <v>8</v>
      </c>
      <c r="B62" s="2">
        <v>0.08</v>
      </c>
      <c r="I62" s="103">
        <f ca="1">I16</f>
        <v>11.328784816979292</v>
      </c>
      <c r="J62" s="104"/>
      <c r="AA62" t="s">
        <v>81</v>
      </c>
      <c r="AB62" s="17">
        <f>AB61</f>
        <v>0.25712435112266746</v>
      </c>
      <c r="AC62" s="17">
        <f>AB62</f>
        <v>0.25712435112266746</v>
      </c>
      <c r="AD62" s="17">
        <f t="shared" ref="AD62:AG62" si="60">AC62</f>
        <v>0.25712435112266746</v>
      </c>
      <c r="AE62" s="17">
        <f t="shared" si="60"/>
        <v>0.25712435112266746</v>
      </c>
      <c r="AF62" s="17">
        <f t="shared" si="60"/>
        <v>0.25712435112266746</v>
      </c>
      <c r="AG62" s="17">
        <f t="shared" si="60"/>
        <v>0.25712435112266746</v>
      </c>
    </row>
    <row r="63" spans="1:33" x14ac:dyDescent="0.2">
      <c r="A63" t="s">
        <v>9</v>
      </c>
      <c r="B63" s="2">
        <v>0.12</v>
      </c>
      <c r="I63" s="105"/>
      <c r="J63" s="106"/>
    </row>
    <row r="64" spans="1:33" x14ac:dyDescent="0.2">
      <c r="A64" t="s">
        <v>10</v>
      </c>
      <c r="B64" s="2">
        <v>0.12</v>
      </c>
      <c r="I64" s="107"/>
      <c r="J64" s="108"/>
      <c r="AA64" s="41" t="s">
        <v>46</v>
      </c>
      <c r="AB64" s="42"/>
      <c r="AC64" s="42">
        <f ca="1">AC41-AB41</f>
        <v>84035.499358665664</v>
      </c>
      <c r="AD64" s="42">
        <f t="shared" ref="AD64:AG64" ca="1" si="61">AD41-AC41</f>
        <v>-169835.59641449037</v>
      </c>
      <c r="AE64" s="42">
        <f t="shared" ca="1" si="61"/>
        <v>34666.91206436744</v>
      </c>
      <c r="AF64" s="42">
        <f t="shared" ca="1" si="61"/>
        <v>11013.087367931614</v>
      </c>
      <c r="AG64" s="42">
        <f t="shared" ca="1" si="61"/>
        <v>10362.480197497644</v>
      </c>
    </row>
    <row r="65" spans="1:34" x14ac:dyDescent="0.2">
      <c r="A65" t="s">
        <v>64</v>
      </c>
      <c r="B65" s="2">
        <v>0.05</v>
      </c>
      <c r="I65" s="117" t="str">
        <f>_xlfn.CONCAT("Based on ",$B$104)</f>
        <v>Based on FCFE</v>
      </c>
      <c r="J65" s="117"/>
      <c r="AA65" s="39" t="s">
        <v>47</v>
      </c>
      <c r="AB65" s="40"/>
      <c r="AC65" s="40">
        <f ca="1">SUM(AC58,AC64)</f>
        <v>198215.39477065252</v>
      </c>
      <c r="AD65" s="40">
        <f t="shared" ref="AD65:AG65" ca="1" si="62">SUM(AD58,AD64)</f>
        <v>-140237.00136952358</v>
      </c>
      <c r="AE65" s="40">
        <f t="shared" ca="1" si="62"/>
        <v>146786.97620549332</v>
      </c>
      <c r="AF65" s="40">
        <f t="shared" ca="1" si="62"/>
        <v>119644.97173577803</v>
      </c>
      <c r="AG65" s="40">
        <f t="shared" ca="1" si="62"/>
        <v>127684.91531477193</v>
      </c>
      <c r="AH65" s="11"/>
    </row>
    <row r="66" spans="1:34" x14ac:dyDescent="0.2">
      <c r="I66" s="118"/>
      <c r="J66" s="118"/>
    </row>
    <row r="67" spans="1:34" x14ac:dyDescent="0.2">
      <c r="AA67" s="113" t="s">
        <v>38</v>
      </c>
      <c r="AB67" s="113"/>
      <c r="AC67" s="113"/>
      <c r="AD67" s="113"/>
      <c r="AE67" s="113"/>
      <c r="AF67" s="113"/>
      <c r="AG67" s="113"/>
      <c r="AH67" s="113"/>
    </row>
    <row r="68" spans="1:34" x14ac:dyDescent="0.2">
      <c r="A68" s="98" t="s">
        <v>11</v>
      </c>
      <c r="B68" s="99"/>
      <c r="C68" s="99"/>
      <c r="D68" s="99"/>
      <c r="E68" s="99"/>
      <c r="F68" s="99"/>
      <c r="G68" s="99"/>
      <c r="AA68" s="18"/>
      <c r="AB68" s="18"/>
      <c r="AC68" s="18"/>
      <c r="AD68" s="18"/>
      <c r="AE68" s="18"/>
      <c r="AF68" s="18"/>
      <c r="AG68" s="18"/>
      <c r="AH68" s="18"/>
    </row>
    <row r="69" spans="1:34" x14ac:dyDescent="0.2">
      <c r="A69" s="5"/>
      <c r="B69" s="3" t="s">
        <v>1</v>
      </c>
      <c r="C69" s="4" t="s">
        <v>12</v>
      </c>
      <c r="AA69" s="113" t="s">
        <v>39</v>
      </c>
      <c r="AB69" s="113"/>
      <c r="AC69" s="113"/>
      <c r="AD69" s="113"/>
      <c r="AE69" s="113"/>
      <c r="AF69" s="113"/>
      <c r="AG69" s="113"/>
      <c r="AH69" s="113"/>
    </row>
    <row r="70" spans="1:34" x14ac:dyDescent="0.2">
      <c r="A70" s="8"/>
      <c r="B70" s="7">
        <v>0</v>
      </c>
      <c r="C70" s="2">
        <v>0.6</v>
      </c>
      <c r="AA70" s="18"/>
      <c r="AB70" s="18"/>
      <c r="AC70" s="18"/>
      <c r="AD70" s="18"/>
      <c r="AE70" s="18"/>
      <c r="AF70" s="18"/>
      <c r="AG70" s="18"/>
      <c r="AH70" s="18"/>
    </row>
    <row r="71" spans="1:34" x14ac:dyDescent="0.2">
      <c r="A71" s="8"/>
      <c r="B71" s="7">
        <v>6000000</v>
      </c>
      <c r="C71" s="2">
        <v>0.55000000000000004</v>
      </c>
      <c r="AA71" s="18" t="s">
        <v>34</v>
      </c>
      <c r="AB71" s="9">
        <v>0</v>
      </c>
      <c r="AC71" s="9">
        <v>1</v>
      </c>
      <c r="AD71" s="9">
        <v>2</v>
      </c>
      <c r="AE71" s="9">
        <v>3</v>
      </c>
      <c r="AF71" s="9">
        <v>4</v>
      </c>
      <c r="AG71" s="9">
        <v>5</v>
      </c>
      <c r="AH71" s="10">
        <v>6</v>
      </c>
    </row>
    <row r="72" spans="1:34" x14ac:dyDescent="0.2">
      <c r="A72" s="8"/>
      <c r="B72" s="7">
        <v>8000000</v>
      </c>
      <c r="C72" s="2">
        <v>0.5</v>
      </c>
      <c r="AA72" s="18"/>
      <c r="AB72" s="18"/>
      <c r="AC72" s="18"/>
      <c r="AD72" s="18"/>
      <c r="AE72" s="18"/>
      <c r="AF72" s="18"/>
      <c r="AG72" s="18"/>
      <c r="AH72" s="18"/>
    </row>
    <row r="73" spans="1:34" x14ac:dyDescent="0.2">
      <c r="B73" s="7">
        <v>10000000</v>
      </c>
      <c r="C73" s="2">
        <v>0.4</v>
      </c>
      <c r="AA73" s="18" t="s">
        <v>40</v>
      </c>
      <c r="AB73" s="43">
        <f ca="1">SUM(AB$37,AB$39)/AB92</f>
        <v>0.25567406302269258</v>
      </c>
      <c r="AC73" s="43">
        <f t="shared" ref="AC73:AG73" ca="1" si="63">SUM(AC37,AC39)/AC92</f>
        <v>0.26411662475527548</v>
      </c>
      <c r="AD73" s="43">
        <f t="shared" ca="1" si="63"/>
        <v>0.26846383426261777</v>
      </c>
      <c r="AE73" s="43">
        <f t="shared" ca="1" si="63"/>
        <v>0.27864550768244201</v>
      </c>
      <c r="AF73" s="43">
        <f t="shared" ca="1" si="63"/>
        <v>0.28807043554346101</v>
      </c>
      <c r="AG73" s="43">
        <f t="shared" ca="1" si="63"/>
        <v>0.29838122619650376</v>
      </c>
      <c r="AH73" s="18"/>
    </row>
    <row r="74" spans="1:34" x14ac:dyDescent="0.2">
      <c r="B74" s="7">
        <v>15000000</v>
      </c>
      <c r="C74" s="2">
        <v>0.35</v>
      </c>
      <c r="AA74" s="18" t="s">
        <v>49</v>
      </c>
      <c r="AB74" s="19">
        <f ca="1">(AB75*(1-$B$55)*AB73+AB77)/(1+AB73*(1-$B$55))</f>
        <v>1.2593802801282747</v>
      </c>
      <c r="AC74" s="19">
        <f ca="1">AB74</f>
        <v>1.2593802801282747</v>
      </c>
      <c r="AD74" s="19">
        <f t="shared" ref="AD74:AG74" ca="1" si="64">AC74</f>
        <v>1.2593802801282747</v>
      </c>
      <c r="AE74" s="19">
        <f t="shared" ca="1" si="64"/>
        <v>1.2593802801282747</v>
      </c>
      <c r="AF74" s="19">
        <f t="shared" ca="1" si="64"/>
        <v>1.2593802801282747</v>
      </c>
      <c r="AG74" s="19">
        <f t="shared" ca="1" si="64"/>
        <v>1.2593802801282747</v>
      </c>
      <c r="AH74" s="18"/>
    </row>
    <row r="75" spans="1:34" x14ac:dyDescent="0.2">
      <c r="AA75" s="18" t="s">
        <v>50</v>
      </c>
      <c r="AB75" s="19">
        <f>$B$87*(AB$37/SUM(AB$37,AB$39))+$B$88*(AB$39/SUM(AB$37,AB$39))</f>
        <v>0.34272022859458678</v>
      </c>
      <c r="AC75" s="19">
        <f t="shared" ref="AC75:AG75" si="65">$B$87*(AC37/SUM(AC37,AC39))+$B$88*(AC39/SUM(AC37,AC39))</f>
        <v>0.34305524799433668</v>
      </c>
      <c r="AD75" s="19">
        <f t="shared" si="65"/>
        <v>0.34013338135976129</v>
      </c>
      <c r="AE75" s="19">
        <f t="shared" si="65"/>
        <v>0.34013338135976129</v>
      </c>
      <c r="AF75" s="19">
        <f t="shared" si="65"/>
        <v>0.34013338135976129</v>
      </c>
      <c r="AG75" s="19">
        <f t="shared" si="65"/>
        <v>0.34013338135976129</v>
      </c>
      <c r="AH75" s="18"/>
    </row>
    <row r="76" spans="1:34" x14ac:dyDescent="0.2">
      <c r="AA76" s="18" t="s">
        <v>51</v>
      </c>
      <c r="AB76" s="20">
        <f>AB$51*$CC$29+AB$53*$CC$30</f>
        <v>3.4381865142702757E-2</v>
      </c>
      <c r="AC76" s="20">
        <f t="shared" ref="AC76:AG76" si="66">AC$51*$CC$29+AC$53*$CC$30</f>
        <v>3.4381865142702757E-2</v>
      </c>
      <c r="AD76" s="20">
        <f t="shared" si="66"/>
        <v>3.4381865142702757E-2</v>
      </c>
      <c r="AE76" s="20">
        <f t="shared" si="66"/>
        <v>3.4381865142702757E-2</v>
      </c>
      <c r="AF76" s="20">
        <f t="shared" si="66"/>
        <v>3.4381865142702757E-2</v>
      </c>
      <c r="AG76" s="20">
        <f t="shared" si="66"/>
        <v>3.4381865142702757E-2</v>
      </c>
      <c r="AH76" s="18"/>
    </row>
    <row r="77" spans="1:34" x14ac:dyDescent="0.2">
      <c r="A77" s="96" t="s">
        <v>14</v>
      </c>
      <c r="B77" s="96"/>
      <c r="C77" s="96"/>
      <c r="D77" s="96"/>
      <c r="E77" s="96"/>
      <c r="F77" s="96"/>
      <c r="G77" s="96"/>
      <c r="AA77" s="18" t="s">
        <v>52</v>
      </c>
      <c r="AB77" s="19">
        <f>B$89</f>
        <v>1.4</v>
      </c>
      <c r="AC77" s="19">
        <f ca="1">AC74+(1-$B$55)*(AC74-AC75)*AC73</f>
        <v>1.4045902849278658</v>
      </c>
      <c r="AD77" s="19">
        <f t="shared" ref="AD77:AF77" ca="1" si="67">AD74+(1-$B$55)*(AD74-AD75)*AD73</f>
        <v>1.407451008374724</v>
      </c>
      <c r="AE77" s="19">
        <f t="shared" ca="1" si="67"/>
        <v>1.4130666914039924</v>
      </c>
      <c r="AF77" s="19">
        <f t="shared" ca="1" si="67"/>
        <v>1.4182649928284077</v>
      </c>
      <c r="AG77" s="19">
        <f ca="1">AG74+(1-$B$55)*(AG74-AG75)*AG73</f>
        <v>1.4239518902274042</v>
      </c>
      <c r="AH77" s="21"/>
    </row>
    <row r="78" spans="1:34" x14ac:dyDescent="0.2">
      <c r="A78" t="s">
        <v>65</v>
      </c>
      <c r="B78" s="2">
        <v>0.105</v>
      </c>
      <c r="AA78" s="18" t="s">
        <v>62</v>
      </c>
      <c r="AB78" s="20">
        <f>$B$79+AB77*$B$80</f>
        <v>9.3999999999999986E-2</v>
      </c>
      <c r="AC78" s="20">
        <f t="shared" ref="AC78:AG78" ca="1" si="68">$B$79+AC77*$B$80</f>
        <v>9.4275417095671943E-2</v>
      </c>
      <c r="AD78" s="20">
        <f t="shared" ca="1" si="68"/>
        <v>9.4447060502483429E-2</v>
      </c>
      <c r="AE78" s="20">
        <f t="shared" ca="1" si="68"/>
        <v>9.4784001484239544E-2</v>
      </c>
      <c r="AF78" s="20">
        <f t="shared" ca="1" si="68"/>
        <v>9.5095899569704448E-2</v>
      </c>
      <c r="AG78" s="20">
        <f t="shared" ca="1" si="68"/>
        <v>9.5437113413644248E-2</v>
      </c>
      <c r="AH78" s="18"/>
    </row>
    <row r="79" spans="1:34" ht="15" customHeight="1" x14ac:dyDescent="0.2">
      <c r="A79" t="s">
        <v>66</v>
      </c>
      <c r="B79" s="2">
        <v>0.01</v>
      </c>
      <c r="AA79" s="18" t="s">
        <v>41</v>
      </c>
      <c r="AB79" s="20">
        <f ca="1">AB78*CB$5+AB76*(1-$B$55)*CB$6</f>
        <v>7.9060588744043966E-2</v>
      </c>
      <c r="AC79" s="20">
        <f t="shared" ref="AC79:AG79" ca="1" si="69">AC78*CC$5+AC76*(1-$B$55)*CC$6</f>
        <v>7.8888220000703529E-2</v>
      </c>
      <c r="AD79" s="20">
        <f t="shared" ca="1" si="69"/>
        <v>7.8823873577596237E-2</v>
      </c>
      <c r="AE79" s="20">
        <f t="shared" ca="1" si="69"/>
        <v>7.8623990966119925E-2</v>
      </c>
      <c r="AF79" s="20">
        <f t="shared" ca="1" si="69"/>
        <v>7.8441780900706207E-2</v>
      </c>
      <c r="AG79" s="20">
        <f t="shared" ca="1" si="69"/>
        <v>7.8245474604844767E-2</v>
      </c>
      <c r="AH79" s="18"/>
    </row>
    <row r="80" spans="1:34" ht="15" customHeight="1" x14ac:dyDescent="0.2">
      <c r="A80" t="s">
        <v>67</v>
      </c>
      <c r="B80" s="2">
        <v>0.06</v>
      </c>
      <c r="AA80" s="18"/>
      <c r="AB80" s="18"/>
      <c r="AC80" s="18"/>
      <c r="AD80" s="18"/>
      <c r="AE80" s="18"/>
      <c r="AF80" s="18"/>
      <c r="AG80" s="18"/>
      <c r="AH80" s="18"/>
    </row>
    <row r="81" spans="1:35" ht="15" customHeight="1" x14ac:dyDescent="0.2">
      <c r="A81" t="s">
        <v>106</v>
      </c>
      <c r="B81" s="2">
        <v>0.02</v>
      </c>
      <c r="AA81" s="113" t="s">
        <v>42</v>
      </c>
      <c r="AB81" s="113"/>
      <c r="AC81" s="113"/>
      <c r="AD81" s="113"/>
      <c r="AE81" s="113"/>
      <c r="AF81" s="113"/>
      <c r="AG81" s="113"/>
      <c r="AH81" s="113"/>
    </row>
    <row r="82" spans="1:35" x14ac:dyDescent="0.2">
      <c r="A82" t="s">
        <v>68</v>
      </c>
      <c r="B82" s="2">
        <v>5.0000000000000001E-3</v>
      </c>
      <c r="AA82" s="18"/>
      <c r="AB82" s="18"/>
      <c r="AC82" s="18"/>
      <c r="AD82" s="18"/>
      <c r="AE82" s="18"/>
      <c r="AF82" s="18"/>
      <c r="AG82" s="18"/>
      <c r="AH82" s="18"/>
    </row>
    <row r="83" spans="1:35" x14ac:dyDescent="0.2">
      <c r="AA83" s="18" t="s">
        <v>34</v>
      </c>
      <c r="AB83" s="9">
        <v>0</v>
      </c>
      <c r="AC83" s="9">
        <v>1</v>
      </c>
      <c r="AD83" s="9">
        <v>2</v>
      </c>
      <c r="AE83" s="9">
        <v>3</v>
      </c>
      <c r="AF83" s="9">
        <v>4</v>
      </c>
      <c r="AG83" s="9">
        <v>5</v>
      </c>
      <c r="AH83" s="10">
        <v>6</v>
      </c>
    </row>
    <row r="84" spans="1:35" x14ac:dyDescent="0.2">
      <c r="AA84" s="18"/>
      <c r="AB84" s="18"/>
      <c r="AC84" s="18"/>
      <c r="AD84" s="18"/>
      <c r="AE84" s="18"/>
      <c r="AF84" s="18"/>
      <c r="AG84" s="18"/>
      <c r="AH84" s="18"/>
    </row>
    <row r="85" spans="1:35" x14ac:dyDescent="0.2">
      <c r="A85" s="96" t="s">
        <v>15</v>
      </c>
      <c r="B85" s="96"/>
      <c r="C85" s="96"/>
      <c r="D85" s="96"/>
      <c r="E85" s="96"/>
      <c r="F85" s="96"/>
      <c r="G85" s="96"/>
      <c r="AA85" s="18" t="s">
        <v>109</v>
      </c>
      <c r="AB85" s="22"/>
      <c r="AC85" s="23">
        <f ca="1">AC20/AB91</f>
        <v>0.4559439825369378</v>
      </c>
      <c r="AD85" s="23">
        <f t="shared" ref="AD85:AG85" ca="1" si="70">AD20/AC91</f>
        <v>0.49563509149805463</v>
      </c>
      <c r="AE85" s="23">
        <f t="shared" ca="1" si="70"/>
        <v>0.58924102595374583</v>
      </c>
      <c r="AF85" s="23">
        <f t="shared" ca="1" si="70"/>
        <v>0.63575574018160075</v>
      </c>
      <c r="AG85" s="23">
        <f t="shared" ca="1" si="70"/>
        <v>0.69003942901024629</v>
      </c>
      <c r="AH85" s="23">
        <f ca="1">AG85*(1+AH87)</f>
        <v>0.7185897036816139</v>
      </c>
      <c r="AI85" s="44"/>
    </row>
    <row r="86" spans="1:35" x14ac:dyDescent="0.2">
      <c r="A86" t="s">
        <v>104</v>
      </c>
      <c r="B86" s="29">
        <v>0.08</v>
      </c>
      <c r="AA86" s="18" t="s">
        <v>53</v>
      </c>
      <c r="AB86" s="18"/>
      <c r="AC86" s="18"/>
      <c r="AD86" s="18"/>
      <c r="AE86" s="18"/>
      <c r="AF86" s="18"/>
      <c r="AG86" s="21">
        <f ca="1">SUM(AG78,$B$99)</f>
        <v>0.10343711341364425</v>
      </c>
      <c r="AH86" s="18"/>
    </row>
    <row r="87" spans="1:35" x14ac:dyDescent="0.2">
      <c r="A87" t="s">
        <v>100</v>
      </c>
      <c r="B87" s="29">
        <v>0.1</v>
      </c>
      <c r="I87" s="102" t="s">
        <v>31</v>
      </c>
      <c r="J87" s="102"/>
      <c r="AA87" s="18" t="s">
        <v>54</v>
      </c>
      <c r="AB87" s="18"/>
      <c r="AC87" s="18"/>
      <c r="AD87" s="18"/>
      <c r="AE87" s="18"/>
      <c r="AF87" s="18"/>
      <c r="AG87" s="18"/>
      <c r="AH87" s="20">
        <f ca="1">$CC$33*AG86</f>
        <v>4.1374845365457706E-2</v>
      </c>
    </row>
    <row r="88" spans="1:35" x14ac:dyDescent="0.2">
      <c r="A88" t="s">
        <v>69</v>
      </c>
      <c r="B88" s="29">
        <v>0.4</v>
      </c>
      <c r="I88" s="103">
        <f ca="1">I16</f>
        <v>11.328784816979292</v>
      </c>
      <c r="J88" s="104"/>
      <c r="AA88" s="18"/>
      <c r="AB88" s="18"/>
      <c r="AC88" s="23"/>
      <c r="AD88" s="23"/>
      <c r="AE88" s="23"/>
      <c r="AF88" s="23"/>
      <c r="AG88" s="23"/>
      <c r="AH88" s="18"/>
    </row>
    <row r="89" spans="1:35" x14ac:dyDescent="0.2">
      <c r="A89" t="s">
        <v>101</v>
      </c>
      <c r="B89" s="29">
        <v>1.4</v>
      </c>
      <c r="I89" s="105"/>
      <c r="J89" s="106"/>
      <c r="AA89" s="18" t="s">
        <v>73</v>
      </c>
      <c r="AB89" s="23">
        <f ca="1">IFERROR((AC85+AC89)/(1+AB78),10)</f>
        <v>10.624925024397392</v>
      </c>
      <c r="AC89" s="23">
        <f t="shared" ref="AC89:AF89" ca="1" si="71">IFERROR((AD85+AD89)/(1+AC78),10)</f>
        <v>11.167723994153809</v>
      </c>
      <c r="AD89" s="23">
        <f t="shared" ca="1" si="71"/>
        <v>11.724930740213946</v>
      </c>
      <c r="AE89" s="23">
        <f t="shared" ca="1" si="71"/>
        <v>12.243074957268615</v>
      </c>
      <c r="AF89" s="23">
        <f t="shared" ca="1" si="71"/>
        <v>12.767766852008419</v>
      </c>
      <c r="AG89" s="23">
        <f ca="1">IFERROR(AH85/(AG78-AH87),10)</f>
        <v>13.291889697286168</v>
      </c>
      <c r="AH89" s="18"/>
    </row>
    <row r="90" spans="1:35" x14ac:dyDescent="0.2">
      <c r="I90" s="107"/>
      <c r="J90" s="108"/>
      <c r="AA90" s="18" t="s">
        <v>55</v>
      </c>
      <c r="AB90" s="22"/>
      <c r="AC90" s="24">
        <f ca="1">AC$64/AC89</f>
        <v>7524.8546080344931</v>
      </c>
      <c r="AD90" s="24">
        <f t="shared" ref="AD90:AG90" ca="1" si="72">AD64/AD89</f>
        <v>-14484.997837299921</v>
      </c>
      <c r="AE90" s="24">
        <f t="shared" ca="1" si="72"/>
        <v>2831.5527092142793</v>
      </c>
      <c r="AF90" s="24">
        <f t="shared" ca="1" si="72"/>
        <v>862.56958601959525</v>
      </c>
      <c r="AG90" s="24">
        <f t="shared" ca="1" si="72"/>
        <v>779.60925297276367</v>
      </c>
      <c r="AH90" s="18"/>
    </row>
    <row r="91" spans="1:35" x14ac:dyDescent="0.2">
      <c r="I91" s="117" t="str">
        <f>_xlfn.CONCAT("Based on ",$B$104)</f>
        <v>Based on FCFE</v>
      </c>
      <c r="J91" s="117"/>
      <c r="AA91" s="18" t="s">
        <v>56</v>
      </c>
      <c r="AB91" s="24">
        <f>B47</f>
        <v>501400</v>
      </c>
      <c r="AC91" s="24">
        <f ca="1">SUM(AB91,AC90)</f>
        <v>508924.85460803448</v>
      </c>
      <c r="AD91" s="24">
        <f t="shared" ref="AD91:AG91" ca="1" si="73">SUM(AC91,AD90)</f>
        <v>494439.85677073454</v>
      </c>
      <c r="AE91" s="24">
        <f t="shared" ca="1" si="73"/>
        <v>497271.40947994881</v>
      </c>
      <c r="AF91" s="24">
        <f t="shared" ca="1" si="73"/>
        <v>498133.97906596842</v>
      </c>
      <c r="AG91" s="24">
        <f t="shared" ca="1" si="73"/>
        <v>498913.58831894118</v>
      </c>
      <c r="AH91" s="18"/>
    </row>
    <row r="92" spans="1:35" x14ac:dyDescent="0.2">
      <c r="A92" s="96" t="s">
        <v>30</v>
      </c>
      <c r="B92" s="96"/>
      <c r="C92" s="96"/>
      <c r="D92" s="96"/>
      <c r="E92" s="96"/>
      <c r="F92" s="96"/>
      <c r="G92" s="96"/>
      <c r="I92" s="118"/>
      <c r="J92" s="118"/>
      <c r="AA92" s="18" t="s">
        <v>57</v>
      </c>
      <c r="AB92" s="22">
        <f ca="1">AB89*AB91</f>
        <v>5327337.4072328527</v>
      </c>
      <c r="AC92" s="22">
        <f t="shared" ref="AC92:AG92" ca="1" si="74">AC89*AC91</f>
        <v>5683532.3100273851</v>
      </c>
      <c r="AD92" s="22">
        <f t="shared" ca="1" si="74"/>
        <v>5797273.0758381654</v>
      </c>
      <c r="AE92" s="22">
        <f t="shared" ca="1" si="74"/>
        <v>6088131.1403696276</v>
      </c>
      <c r="AF92" s="22">
        <f t="shared" ca="1" si="74"/>
        <v>6360058.5057775276</v>
      </c>
      <c r="AG92" s="22">
        <f t="shared" ca="1" si="74"/>
        <v>6631504.3844126072</v>
      </c>
      <c r="AH92" s="18"/>
    </row>
    <row r="93" spans="1:35" x14ac:dyDescent="0.2">
      <c r="A93" t="s">
        <v>121</v>
      </c>
      <c r="B93" s="2">
        <v>0.03</v>
      </c>
      <c r="AA93" s="18" t="s">
        <v>105</v>
      </c>
      <c r="AB93" s="22">
        <f ca="1">SUM(AB92,AB$40)</f>
        <v>7304675.4072328527</v>
      </c>
      <c r="AC93" s="22">
        <f t="shared" ref="AC93:AG93" ca="1" si="75">SUM(AC92,AC40)</f>
        <v>7868492.8204393722</v>
      </c>
      <c r="AD93" s="22">
        <f t="shared" ca="1" si="75"/>
        <v>8099022.4366451185</v>
      </c>
      <c r="AE93" s="22">
        <f t="shared" ca="1" si="75"/>
        <v>8597037.9436492063</v>
      </c>
      <c r="AF93" s="22">
        <f t="shared" ca="1" si="75"/>
        <v>9069677.8533194736</v>
      </c>
      <c r="AG93" s="22">
        <f t="shared" ca="1" si="75"/>
        <v>9557893.2797579095</v>
      </c>
      <c r="AH93" s="18"/>
    </row>
    <row r="94" spans="1:35" x14ac:dyDescent="0.2">
      <c r="A94" t="s">
        <v>70</v>
      </c>
      <c r="B94" s="2">
        <v>0.08</v>
      </c>
      <c r="AB94" s="30"/>
    </row>
    <row r="95" spans="1:35" x14ac:dyDescent="0.2">
      <c r="A95" t="s">
        <v>71</v>
      </c>
      <c r="B95" s="2">
        <v>0.02</v>
      </c>
      <c r="AB95" s="45"/>
    </row>
    <row r="96" spans="1:35" x14ac:dyDescent="0.2">
      <c r="AA96" s="94" t="s">
        <v>126</v>
      </c>
      <c r="AB96" s="94"/>
      <c r="AC96" s="94"/>
      <c r="AD96" s="94"/>
      <c r="AE96" s="94"/>
      <c r="AF96" s="94"/>
      <c r="AG96" s="94"/>
      <c r="AH96" s="94"/>
    </row>
    <row r="97" spans="1:34" x14ac:dyDescent="0.2">
      <c r="AA97" s="46"/>
      <c r="AB97" s="46"/>
      <c r="AC97" s="46"/>
      <c r="AD97" s="46"/>
      <c r="AE97" s="46"/>
      <c r="AF97" s="46"/>
      <c r="AG97" s="46"/>
      <c r="AH97" s="46"/>
    </row>
    <row r="98" spans="1:34" x14ac:dyDescent="0.2">
      <c r="A98" s="96" t="s">
        <v>29</v>
      </c>
      <c r="B98" s="96"/>
      <c r="C98" s="96"/>
      <c r="D98" s="96"/>
      <c r="E98" s="96"/>
      <c r="F98" s="96"/>
      <c r="G98" s="96"/>
      <c r="AA98" s="94" t="s">
        <v>39</v>
      </c>
      <c r="AB98" s="94"/>
      <c r="AC98" s="94"/>
      <c r="AD98" s="94"/>
      <c r="AE98" s="94"/>
      <c r="AF98" s="94"/>
      <c r="AG98" s="94"/>
      <c r="AH98" s="94"/>
    </row>
    <row r="99" spans="1:34" x14ac:dyDescent="0.2">
      <c r="A99" s="31" t="s">
        <v>116</v>
      </c>
      <c r="B99" s="2">
        <v>8.0000000000000002E-3</v>
      </c>
      <c r="AA99" s="46"/>
      <c r="AB99" s="46"/>
      <c r="AC99" s="46"/>
      <c r="AD99" s="46"/>
      <c r="AE99" s="46"/>
      <c r="AF99" s="46"/>
      <c r="AG99" s="46"/>
      <c r="AH99" s="46"/>
    </row>
    <row r="100" spans="1:34" x14ac:dyDescent="0.2">
      <c r="AA100" s="46" t="s">
        <v>34</v>
      </c>
      <c r="AB100" s="9">
        <v>0</v>
      </c>
      <c r="AC100" s="9">
        <v>1</v>
      </c>
      <c r="AD100" s="9">
        <v>2</v>
      </c>
      <c r="AE100" s="9">
        <v>3</v>
      </c>
      <c r="AF100" s="9">
        <v>4</v>
      </c>
      <c r="AG100" s="9">
        <v>5</v>
      </c>
      <c r="AH100" s="10">
        <v>6</v>
      </c>
    </row>
    <row r="101" spans="1:34" x14ac:dyDescent="0.2">
      <c r="AA101" s="46"/>
      <c r="AB101" s="46"/>
      <c r="AC101" s="46"/>
      <c r="AD101" s="46"/>
      <c r="AE101" s="46"/>
      <c r="AF101" s="46"/>
      <c r="AG101" s="46"/>
      <c r="AH101" s="46"/>
    </row>
    <row r="102" spans="1:34" x14ac:dyDescent="0.2">
      <c r="A102" s="109" t="s">
        <v>80</v>
      </c>
      <c r="B102" s="109"/>
      <c r="C102" s="109"/>
      <c r="D102" s="109"/>
      <c r="E102" s="109"/>
      <c r="F102" s="109"/>
      <c r="G102" s="109"/>
      <c r="AA102" s="46" t="s">
        <v>40</v>
      </c>
      <c r="AB102" s="47">
        <f ca="1">SUM(AB$37,AB$39)/AB121</f>
        <v>0.23978897950534953</v>
      </c>
      <c r="AC102" s="47">
        <f t="shared" ref="AC102:AG102" ca="1" si="76">SUM(AC$37,AC$39)/AC121</f>
        <v>0.24473069801088534</v>
      </c>
      <c r="AD102" s="47">
        <f t="shared" ca="1" si="76"/>
        <v>0.2554023783037182</v>
      </c>
      <c r="AE102" s="47">
        <f t="shared" ca="1" si="76"/>
        <v>0.26424518302094469</v>
      </c>
      <c r="AF102" s="47">
        <f t="shared" ca="1" si="76"/>
        <v>0.27314605059986508</v>
      </c>
      <c r="AG102" s="47">
        <f t="shared" ca="1" si="76"/>
        <v>0.28293911969427832</v>
      </c>
      <c r="AH102" s="46"/>
    </row>
    <row r="103" spans="1:34" x14ac:dyDescent="0.2">
      <c r="AA103" s="46" t="s">
        <v>49</v>
      </c>
      <c r="AB103" s="48">
        <f ca="1">(AB104*(1-$B$55)*AB102+AB106)/(1+AB102*(1-$B$55))</f>
        <v>1.2670181297183569</v>
      </c>
      <c r="AC103" s="48">
        <f ca="1">AB103</f>
        <v>1.2670181297183569</v>
      </c>
      <c r="AD103" s="48">
        <f t="shared" ref="AD103" ca="1" si="77">AC103</f>
        <v>1.2670181297183569</v>
      </c>
      <c r="AE103" s="48">
        <f t="shared" ref="AE103" ca="1" si="78">AD103</f>
        <v>1.2670181297183569</v>
      </c>
      <c r="AF103" s="48">
        <f t="shared" ref="AF103" ca="1" si="79">AE103</f>
        <v>1.2670181297183569</v>
      </c>
      <c r="AG103" s="48">
        <f t="shared" ref="AG103" ca="1" si="80">AF103</f>
        <v>1.2670181297183569</v>
      </c>
      <c r="AH103" s="46"/>
    </row>
    <row r="104" spans="1:34" x14ac:dyDescent="0.2">
      <c r="A104" s="27" t="s">
        <v>119</v>
      </c>
      <c r="B104" s="101" t="s">
        <v>136</v>
      </c>
      <c r="C104" s="101"/>
      <c r="AA104" s="46" t="s">
        <v>50</v>
      </c>
      <c r="AB104" s="48">
        <f>$B$87*(AB$37/SUM(AB$37,AB$39))+$B$88*(AB$39/SUM(AB$37,AB$39))</f>
        <v>0.34272022859458678</v>
      </c>
      <c r="AC104" s="48">
        <f t="shared" ref="AC104:AG104" si="81">$B$87*(AC$37/SUM(AC$37,AC$39))+$B$88*(AC$39/SUM(AC$37,AC$39))</f>
        <v>0.34305524799433668</v>
      </c>
      <c r="AD104" s="48">
        <f t="shared" si="81"/>
        <v>0.34013338135976129</v>
      </c>
      <c r="AE104" s="48">
        <f t="shared" si="81"/>
        <v>0.34013338135976129</v>
      </c>
      <c r="AF104" s="48">
        <f t="shared" si="81"/>
        <v>0.34013338135976129</v>
      </c>
      <c r="AG104" s="48">
        <f t="shared" si="81"/>
        <v>0.34013338135976129</v>
      </c>
      <c r="AH104" s="46"/>
    </row>
    <row r="105" spans="1:34" x14ac:dyDescent="0.2">
      <c r="AA105" s="46" t="s">
        <v>51</v>
      </c>
      <c r="AB105" s="49">
        <f>AB$51*$CC$29+AB$53*$CC$30</f>
        <v>3.4381865142702757E-2</v>
      </c>
      <c r="AC105" s="49">
        <f t="shared" ref="AC105:AG105" si="82">AC$51*$CC$29+AC$53*$CC$30</f>
        <v>3.4381865142702757E-2</v>
      </c>
      <c r="AD105" s="49">
        <f t="shared" si="82"/>
        <v>3.4381865142702757E-2</v>
      </c>
      <c r="AE105" s="49">
        <f t="shared" si="82"/>
        <v>3.4381865142702757E-2</v>
      </c>
      <c r="AF105" s="49">
        <f t="shared" si="82"/>
        <v>3.4381865142702757E-2</v>
      </c>
      <c r="AG105" s="49">
        <f t="shared" si="82"/>
        <v>3.4381865142702757E-2</v>
      </c>
      <c r="AH105" s="46"/>
    </row>
    <row r="106" spans="1:34" ht="15" customHeight="1" x14ac:dyDescent="0.2">
      <c r="AA106" s="46" t="s">
        <v>52</v>
      </c>
      <c r="AB106" s="48">
        <f>B$89</f>
        <v>1.4</v>
      </c>
      <c r="AC106" s="48">
        <f ca="1">AC103+(1-$B$55)*(AC103-AC104)*AC102</f>
        <v>1.4026913783066379</v>
      </c>
      <c r="AD106" s="48">
        <f t="shared" ref="AD106:AF106" ca="1" si="83">AD103+(1-$B$55)*(AD103-AD104)*AD102</f>
        <v>1.409055271204894</v>
      </c>
      <c r="AE106" s="48">
        <f t="shared" ca="1" si="83"/>
        <v>1.4139730276999605</v>
      </c>
      <c r="AF106" s="48">
        <f t="shared" ca="1" si="83"/>
        <v>1.418923074743597</v>
      </c>
      <c r="AG106" s="48">
        <f ca="1">AG103+(1-$B$55)*(AG103-AG104)*AG102</f>
        <v>1.4243693025735371</v>
      </c>
      <c r="AH106" s="50"/>
    </row>
    <row r="107" spans="1:34" ht="15" customHeight="1" x14ac:dyDescent="0.2">
      <c r="AA107" s="46" t="s">
        <v>62</v>
      </c>
      <c r="AB107" s="49">
        <f>$B$79+AB106*$B$80</f>
        <v>9.3999999999999986E-2</v>
      </c>
      <c r="AC107" s="49">
        <f t="shared" ref="AC107:AG107" ca="1" si="84">$B$79+AC106*$B$80</f>
        <v>9.4161482698398261E-2</v>
      </c>
      <c r="AD107" s="49">
        <f t="shared" ca="1" si="84"/>
        <v>9.4543316272293634E-2</v>
      </c>
      <c r="AE107" s="49">
        <f t="shared" ca="1" si="84"/>
        <v>9.4838381661997623E-2</v>
      </c>
      <c r="AF107" s="49">
        <f t="shared" ca="1" si="84"/>
        <v>9.5135384484615809E-2</v>
      </c>
      <c r="AG107" s="49">
        <f t="shared" ca="1" si="84"/>
        <v>9.5462158154412224E-2</v>
      </c>
      <c r="AH107" s="46"/>
    </row>
    <row r="108" spans="1:34" ht="15" customHeight="1" x14ac:dyDescent="0.2">
      <c r="I108" s="102" t="s">
        <v>31</v>
      </c>
      <c r="J108" s="102"/>
      <c r="AA108" s="46" t="s">
        <v>41</v>
      </c>
      <c r="AB108" s="49">
        <f t="shared" ref="AB108:AG108" ca="1" si="85">AB107*CB$12+AB105*(1-$B$55)*CB$13</f>
        <v>7.9809255485649835E-2</v>
      </c>
      <c r="AC108" s="49">
        <f t="shared" ca="1" si="85"/>
        <v>7.9704036841151737E-2</v>
      </c>
      <c r="AD108" s="49">
        <f t="shared" ca="1" si="85"/>
        <v>7.9506016615912931E-2</v>
      </c>
      <c r="AE108" s="49">
        <f t="shared" ca="1" si="85"/>
        <v>7.9327592746443631E-2</v>
      </c>
      <c r="AF108" s="49">
        <f t="shared" ca="1" si="85"/>
        <v>7.9150500323767289E-2</v>
      </c>
      <c r="AG108" s="49">
        <f t="shared" ca="1" si="85"/>
        <v>7.8958495686611979E-2</v>
      </c>
      <c r="AH108" s="46"/>
    </row>
    <row r="109" spans="1:34" x14ac:dyDescent="0.2">
      <c r="I109" s="103">
        <f ca="1">I16</f>
        <v>11.328784816979292</v>
      </c>
      <c r="J109" s="104"/>
      <c r="AA109" s="46"/>
      <c r="AB109" s="46"/>
      <c r="AC109" s="46"/>
      <c r="AD109" s="46"/>
      <c r="AE109" s="46"/>
      <c r="AF109" s="46"/>
      <c r="AG109" s="46"/>
      <c r="AH109" s="46"/>
    </row>
    <row r="110" spans="1:34" x14ac:dyDescent="0.2">
      <c r="I110" s="105"/>
      <c r="J110" s="106"/>
      <c r="AA110" s="94" t="s">
        <v>42</v>
      </c>
      <c r="AB110" s="94"/>
      <c r="AC110" s="94"/>
      <c r="AD110" s="94"/>
      <c r="AE110" s="94"/>
      <c r="AF110" s="94"/>
      <c r="AG110" s="94"/>
      <c r="AH110" s="94"/>
    </row>
    <row r="111" spans="1:34" x14ac:dyDescent="0.2">
      <c r="I111" s="107"/>
      <c r="J111" s="108"/>
      <c r="AA111" s="46"/>
      <c r="AB111" s="46"/>
      <c r="AC111" s="46"/>
      <c r="AD111" s="46"/>
      <c r="AE111" s="46"/>
      <c r="AF111" s="46"/>
      <c r="AG111" s="46"/>
      <c r="AH111" s="46"/>
    </row>
    <row r="112" spans="1:34" x14ac:dyDescent="0.2">
      <c r="I112" s="117" t="str">
        <f>_xlfn.CONCAT("Based on ",$B$104)</f>
        <v>Based on FCFE</v>
      </c>
      <c r="J112" s="117"/>
      <c r="AA112" s="46" t="s">
        <v>34</v>
      </c>
      <c r="AB112" s="9">
        <v>0</v>
      </c>
      <c r="AC112" s="9">
        <v>1</v>
      </c>
      <c r="AD112" s="9">
        <v>2</v>
      </c>
      <c r="AE112" s="9">
        <v>3</v>
      </c>
      <c r="AF112" s="9">
        <v>4</v>
      </c>
      <c r="AG112" s="9">
        <v>5</v>
      </c>
      <c r="AH112" s="10">
        <v>6</v>
      </c>
    </row>
    <row r="113" spans="9:34" x14ac:dyDescent="0.2">
      <c r="I113" s="118"/>
      <c r="J113" s="118"/>
      <c r="AA113" s="46"/>
      <c r="AB113" s="46"/>
      <c r="AC113" s="46"/>
      <c r="AD113" s="46"/>
      <c r="AE113" s="46"/>
      <c r="AF113" s="46"/>
      <c r="AG113" s="46"/>
      <c r="AH113" s="46"/>
    </row>
    <row r="114" spans="9:34" x14ac:dyDescent="0.2">
      <c r="AA114" s="46" t="s">
        <v>127</v>
      </c>
      <c r="AB114" s="51"/>
      <c r="AC114" s="52">
        <f ca="1">CC23/AB120</f>
        <v>0.32805801453002648</v>
      </c>
      <c r="AD114" s="52">
        <f ca="1">CD23/AC120</f>
        <v>0.88070761192059888</v>
      </c>
      <c r="AE114" s="52">
        <f ca="1">CE23/AD120</f>
        <v>0.5754966198267415</v>
      </c>
      <c r="AF114" s="52">
        <f ca="1">CF23/AE120</f>
        <v>0.66807846065768173</v>
      </c>
      <c r="AG114" s="52">
        <f ca="1">CG23/AF120</f>
        <v>0.72802780823533042</v>
      </c>
      <c r="AH114" s="52">
        <f ca="1">AG114*(1+AH116)</f>
        <v>0.75815713952991193</v>
      </c>
    </row>
    <row r="115" spans="9:34" ht="15" customHeight="1" x14ac:dyDescent="0.2">
      <c r="AA115" s="46" t="s">
        <v>53</v>
      </c>
      <c r="AB115" s="46"/>
      <c r="AC115" s="46"/>
      <c r="AD115" s="46"/>
      <c r="AE115" s="46"/>
      <c r="AF115" s="46"/>
      <c r="AG115" s="50">
        <f ca="1">SUM(AG107,$B$99)</f>
        <v>0.10346215815441223</v>
      </c>
      <c r="AH115" s="46"/>
    </row>
    <row r="116" spans="9:34" ht="15" customHeight="1" x14ac:dyDescent="0.2">
      <c r="AA116" s="46" t="s">
        <v>128</v>
      </c>
      <c r="AB116" s="46"/>
      <c r="AC116" s="46"/>
      <c r="AD116" s="46"/>
      <c r="AE116" s="46"/>
      <c r="AF116" s="46"/>
      <c r="AG116" s="46"/>
      <c r="AH116" s="49">
        <f ca="1">$CC$33*AG115</f>
        <v>4.1384863261764895E-2</v>
      </c>
    </row>
    <row r="117" spans="9:34" ht="15" customHeight="1" x14ac:dyDescent="0.2">
      <c r="AA117" s="46"/>
      <c r="AB117" s="46"/>
      <c r="AC117" s="52"/>
      <c r="AD117" s="52"/>
      <c r="AE117" s="52"/>
      <c r="AF117" s="52"/>
      <c r="AG117" s="52"/>
      <c r="AH117" s="46"/>
    </row>
    <row r="118" spans="9:34" x14ac:dyDescent="0.2">
      <c r="AA118" s="46" t="s">
        <v>129</v>
      </c>
      <c r="AB118" s="52">
        <f ca="1">IFERROR((AC114+AC118)/(1+AB107),10)</f>
        <v>11.328784816979292</v>
      </c>
      <c r="AC118" s="52">
        <f t="shared" ref="AC118:AF118" ca="1" si="86">IFERROR((AD114+AD118)/(1+AC107),10)</f>
        <v>12.065632575245321</v>
      </c>
      <c r="AD118" s="52">
        <f t="shared" ca="1" si="86"/>
        <v>12.321042816303915</v>
      </c>
      <c r="AE118" s="52">
        <f t="shared" ca="1" si="86"/>
        <v>12.910418444263467</v>
      </c>
      <c r="AF118" s="52">
        <f t="shared" ca="1" si="86"/>
        <v>13.466743175438936</v>
      </c>
      <c r="AG118" s="52">
        <f ca="1">IFERROR(AH114/(AG107-AH116),10)</f>
        <v>14.019879156954566</v>
      </c>
      <c r="AH118" s="46"/>
    </row>
    <row r="119" spans="9:34" x14ac:dyDescent="0.2">
      <c r="AA119" s="46" t="s">
        <v>55</v>
      </c>
      <c r="AB119" s="51"/>
      <c r="AC119" s="53">
        <f ca="1">AC$64/AC118</f>
        <v>6964.8647789158322</v>
      </c>
      <c r="AD119" s="53">
        <f t="shared" ref="AD119:AG119" ca="1" si="87">AD$64/AD118</f>
        <v>-13784.190100350443</v>
      </c>
      <c r="AE119" s="53">
        <f t="shared" ca="1" si="87"/>
        <v>2685.1888816795954</v>
      </c>
      <c r="AF119" s="53">
        <f t="shared" ca="1" si="87"/>
        <v>817.79887122356536</v>
      </c>
      <c r="AG119" s="53">
        <f t="shared" ca="1" si="87"/>
        <v>739.12764022344163</v>
      </c>
      <c r="AH119" s="46"/>
    </row>
    <row r="120" spans="9:34" x14ac:dyDescent="0.2">
      <c r="AA120" s="46" t="s">
        <v>56</v>
      </c>
      <c r="AB120" s="53">
        <f>B47</f>
        <v>501400</v>
      </c>
      <c r="AC120" s="53">
        <f ca="1">SUM(AB120,AC119)</f>
        <v>508364.86477891583</v>
      </c>
      <c r="AD120" s="53">
        <f t="shared" ref="AD120" ca="1" si="88">SUM(AC120,AD119)</f>
        <v>494580.67467856541</v>
      </c>
      <c r="AE120" s="53">
        <f t="shared" ref="AE120" ca="1" si="89">SUM(AD120,AE119)</f>
        <v>497265.86356024502</v>
      </c>
      <c r="AF120" s="53">
        <f t="shared" ref="AF120" ca="1" si="90">SUM(AE120,AF119)</f>
        <v>498083.66243146861</v>
      </c>
      <c r="AG120" s="53">
        <f t="shared" ref="AG120" ca="1" si="91">SUM(AF120,AG119)</f>
        <v>498822.79007169203</v>
      </c>
      <c r="AH120" s="46"/>
    </row>
    <row r="121" spans="9:34" x14ac:dyDescent="0.2">
      <c r="AA121" s="46" t="s">
        <v>57</v>
      </c>
      <c r="AB121" s="51">
        <f ca="1">AB118*AB120</f>
        <v>5680252.7072334168</v>
      </c>
      <c r="AC121" s="51">
        <f t="shared" ref="AC121:AG121" ca="1" si="92">AC118*AC120</f>
        <v>6133743.6725866692</v>
      </c>
      <c r="AD121" s="51">
        <f t="shared" ca="1" si="92"/>
        <v>6093749.6688310821</v>
      </c>
      <c r="AE121" s="51">
        <f t="shared" ca="1" si="92"/>
        <v>6419910.3766107876</v>
      </c>
      <c r="AF121" s="51">
        <f t="shared" ca="1" si="92"/>
        <v>6707564.7618466103</v>
      </c>
      <c r="AG121" s="51">
        <f t="shared" ca="1" si="92"/>
        <v>6993435.2375400383</v>
      </c>
      <c r="AH121" s="46"/>
    </row>
    <row r="122" spans="9:34" x14ac:dyDescent="0.2">
      <c r="AA122" s="46" t="s">
        <v>105</v>
      </c>
      <c r="AB122" s="51">
        <f ca="1">SUM(AB121,AB$40)</f>
        <v>7657590.7072334168</v>
      </c>
      <c r="AC122" s="51">
        <f t="shared" ref="AC122:AG122" ca="1" si="93">SUM(AC121,AC$40)</f>
        <v>8318704.1829986563</v>
      </c>
      <c r="AD122" s="51">
        <f t="shared" ca="1" si="93"/>
        <v>8395499.0296380352</v>
      </c>
      <c r="AE122" s="51">
        <f t="shared" ca="1" si="93"/>
        <v>8928817.1798903681</v>
      </c>
      <c r="AF122" s="51">
        <f t="shared" ca="1" si="93"/>
        <v>9417184.1093885563</v>
      </c>
      <c r="AG122" s="51">
        <f t="shared" ca="1" si="93"/>
        <v>9919824.1328853406</v>
      </c>
      <c r="AH122" s="46"/>
    </row>
    <row r="123" spans="9:34" x14ac:dyDescent="0.2">
      <c r="AA123" s="46"/>
      <c r="AB123" s="51"/>
      <c r="AC123" s="51"/>
      <c r="AD123" s="51"/>
      <c r="AE123" s="51"/>
      <c r="AF123" s="51"/>
      <c r="AG123" s="51"/>
      <c r="AH123" s="46"/>
    </row>
  </sheetData>
  <mergeCells count="50">
    <mergeCell ref="I112:J113"/>
    <mergeCell ref="I19:J20"/>
    <mergeCell ref="I37:J38"/>
    <mergeCell ref="I65:J66"/>
    <mergeCell ref="I91:J92"/>
    <mergeCell ref="I109:J111"/>
    <mergeCell ref="AA110:AH110"/>
    <mergeCell ref="AA1:AH1"/>
    <mergeCell ref="AA3:AH3"/>
    <mergeCell ref="AA23:AH23"/>
    <mergeCell ref="A1:G1"/>
    <mergeCell ref="AA81:AH81"/>
    <mergeCell ref="AA46:AH46"/>
    <mergeCell ref="AA67:AH67"/>
    <mergeCell ref="B3:G3"/>
    <mergeCell ref="I33:J33"/>
    <mergeCell ref="I34:J36"/>
    <mergeCell ref="AA69:AH69"/>
    <mergeCell ref="I61:J61"/>
    <mergeCell ref="I62:J64"/>
    <mergeCell ref="I15:J15"/>
    <mergeCell ref="I16:J18"/>
    <mergeCell ref="B104:C104"/>
    <mergeCell ref="I108:J108"/>
    <mergeCell ref="A7:G7"/>
    <mergeCell ref="A9:G9"/>
    <mergeCell ref="A27:G27"/>
    <mergeCell ref="A49:G49"/>
    <mergeCell ref="A59:G59"/>
    <mergeCell ref="A98:G98"/>
    <mergeCell ref="I87:J87"/>
    <mergeCell ref="I88:J90"/>
    <mergeCell ref="A102:G102"/>
    <mergeCell ref="A92:G92"/>
    <mergeCell ref="AA98:AH98"/>
    <mergeCell ref="A53:G53"/>
    <mergeCell ref="CA29:CB29"/>
    <mergeCell ref="CA30:CB30"/>
    <mergeCell ref="CA32:CB32"/>
    <mergeCell ref="CA33:CB33"/>
    <mergeCell ref="A68:G68"/>
    <mergeCell ref="A77:G77"/>
    <mergeCell ref="A85:G85"/>
    <mergeCell ref="CA36:CB36"/>
    <mergeCell ref="CA1:CH1"/>
    <mergeCell ref="CA26:CA27"/>
    <mergeCell ref="CB2:CH2"/>
    <mergeCell ref="CB9:CH9"/>
    <mergeCell ref="AA96:AH96"/>
    <mergeCell ref="AO3:AV3"/>
  </mergeCells>
  <conditionalFormatting sqref="B70:B74">
    <cfRule type="expression" dxfId="1" priority="8">
      <formula>$CA$42&gt;0</formula>
    </cfRule>
  </conditionalFormatting>
  <conditionalFormatting sqref="C70:C74">
    <cfRule type="expression" dxfId="0" priority="9">
      <formula>$CB$42&gt;0</formula>
    </cfRule>
  </conditionalFormatting>
  <dataValidations count="10">
    <dataValidation type="decimal" allowBlank="1" showInputMessage="1" showErrorMessage="1" errorTitle="Error!" error="Incorrect entry. Please try again." promptTitle="Short Term Debt:" prompt="Please enter a number between 2% and 30%." sqref="B8 B83" xr:uid="{00000000-0002-0000-0000-000000000000}">
      <formula1>0.02</formula1>
      <formula2>0.3</formula2>
    </dataValidation>
    <dataValidation type="decimal" allowBlank="1" showInputMessage="1" showErrorMessage="1" errorTitle="Error!" error="Incorrect entry. Please try again." promptTitle="Short Term Debt:" prompt="You may enter a number between 2% and 30%." sqref="C48:G48 C8:G8 C83:D83 G83" xr:uid="{00000000-0002-0000-0000-000001000000}">
      <formula1>0.02</formula1>
      <formula2>0.3</formula2>
    </dataValidation>
    <dataValidation type="list" allowBlank="1" showInputMessage="1" showErrorMessage="1" sqref="B104:C104" xr:uid="{F5DAEE13-7EEE-4E78-B6DB-9D31B9B12C55}">
      <formula1>$CB$26:$CB$27</formula1>
    </dataValidation>
    <dataValidation type="custom" allowBlank="1" showInputMessage="1" showErrorMessage="1" sqref="B10:B24 B28:B47 B60:B65 B70:C74 B78 B54:B56" xr:uid="{0661DD1F-A07E-4EAE-A8E7-09FBDC1FA406}">
      <formula1>AND(ISNUMBER(B10),B10&gt;=0)</formula1>
    </dataValidation>
    <dataValidation type="custom" allowBlank="1" showInputMessage="1" showErrorMessage="1" sqref="C50:G50" xr:uid="{63AD65C1-93BD-4D55-808F-42A06A4E3C6F}">
      <formula1>ISNUMBER(C50)</formula1>
    </dataValidation>
    <dataValidation type="custom" allowBlank="1" showInputMessage="1" showErrorMessage="1" sqref="B81:B82 B93:B95" xr:uid="{F2B05956-2076-47CE-8614-8AC9CD566CA2}">
      <formula1>AND(ISNUMBER(B81),B81&gt;0)</formula1>
    </dataValidation>
    <dataValidation type="decimal" allowBlank="1" showInputMessage="1" showErrorMessage="1" sqref="B79" xr:uid="{9CFA2C23-6FE5-4F4C-93AE-7BA5FFE2BC87}">
      <formula1>0</formula1>
      <formula2>0.04</formula2>
    </dataValidation>
    <dataValidation type="decimal" allowBlank="1" showInputMessage="1" showErrorMessage="1" sqref="B80" xr:uid="{410FA7C7-87E8-4B41-8F0F-71761B9B076B}">
      <formula1>0</formula1>
      <formula2>0.06</formula2>
    </dataValidation>
    <dataValidation type="decimal" operator="lessThan" allowBlank="1" showInputMessage="1" showErrorMessage="1" sqref="B86:B89" xr:uid="{455DE78B-B4CE-4E9D-8A93-66E4C9A02AD2}">
      <formula1>2</formula1>
    </dataValidation>
    <dataValidation type="whole" operator="greaterThan" allowBlank="1" showInputMessage="1" showErrorMessage="1" sqref="B99" xr:uid="{34ED9766-A917-4D08-9B5C-792BE13AF77F}">
      <formula1>0</formula1>
    </dataValidation>
  </dataValidations>
  <printOptions headings="1"/>
  <pageMargins left="0.25" right="0.25" top="0.25" bottom="0.25" header="0.3" footer="0.3"/>
  <pageSetup scale="20" fitToHeight="0" orientation="landscape" r:id="rId1"/>
  <customProperties>
    <customPr name="DigitalSignature" r:id="rId2"/>
  </customProperties>
  <ignoredErrors>
    <ignoredError sqref="AB9 AB15 AB17:AB20 AC18:AG20 AB39 AC39:AG39" formula="1"/>
  </ignoredErrors>
  <drawing r:id="rId3"/>
  <legacy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UserGuide</vt:lpstr>
      <vt:lpstr>Model</vt:lpstr>
      <vt:lpstr>UserGuide!OLE_LINK1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Folio</dc:creator>
  <cp:lastModifiedBy>Microsoft Office User</cp:lastModifiedBy>
  <cp:lastPrinted>2021-03-23T11:02:36Z</cp:lastPrinted>
  <dcterms:created xsi:type="dcterms:W3CDTF">2006-09-16T00:00:00Z</dcterms:created>
  <dcterms:modified xsi:type="dcterms:W3CDTF">2021-05-15T20:16:26Z</dcterms:modified>
</cp:coreProperties>
</file>